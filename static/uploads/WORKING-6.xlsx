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якова Анна" sheetId="1" r:id="rId5"/>
    <sheet state="visible" name="Черных Анастасия" sheetId="2" r:id="rId6"/>
    <sheet state="visible" name="Несмеянова Елена" sheetId="3" r:id="rId7"/>
    <sheet state="visible" name="Каприна Кира " sheetId="4" r:id="rId8"/>
    <sheet state="visible" name="TEMP" sheetId="5" r:id="rId9"/>
  </sheets>
  <definedNames>
    <definedName hidden="1" localSheetId="0" name="_xlnm._FilterDatabase">'Полякова Анна'!$A$1:$M$40</definedName>
  </definedNames>
  <calcPr/>
</workbook>
</file>

<file path=xl/sharedStrings.xml><?xml version="1.0" encoding="utf-8"?>
<sst xmlns="http://schemas.openxmlformats.org/spreadsheetml/2006/main" count="316" uniqueCount="45">
  <si>
    <t>Имя</t>
  </si>
  <si>
    <t>Смена (дата)</t>
  </si>
  <si>
    <t>время работы</t>
  </si>
  <si>
    <t>Часов</t>
  </si>
  <si>
    <t>Ставка</t>
  </si>
  <si>
    <t>Итого</t>
  </si>
  <si>
    <t>Заслуги</t>
  </si>
  <si>
    <t>Выплата заслуги</t>
  </si>
  <si>
    <t>Вычет</t>
  </si>
  <si>
    <t>Снятие вычет</t>
  </si>
  <si>
    <t>Была смена ?</t>
  </si>
  <si>
    <t>Выплата в месяц</t>
  </si>
  <si>
    <t>доп</t>
  </si>
  <si>
    <t>Полякова Анна</t>
  </si>
  <si>
    <t>18-22</t>
  </si>
  <si>
    <t>ДА ✅</t>
  </si>
  <si>
    <t>10-22</t>
  </si>
  <si>
    <t>10-20</t>
  </si>
  <si>
    <t>17-22</t>
  </si>
  <si>
    <t>Ежемесячная премия за отзывы</t>
  </si>
  <si>
    <t>подмена куртки</t>
  </si>
  <si>
    <t>14-22</t>
  </si>
  <si>
    <t>15-22</t>
  </si>
  <si>
    <t>Принесла пачку пряников</t>
  </si>
  <si>
    <t>Покормила печенькой</t>
  </si>
  <si>
    <t>строительные работы</t>
  </si>
  <si>
    <t>10-17</t>
  </si>
  <si>
    <t>10-18</t>
  </si>
  <si>
    <t>10-19</t>
  </si>
  <si>
    <t>13-16</t>
  </si>
  <si>
    <t>10-16</t>
  </si>
  <si>
    <t>16-22</t>
  </si>
  <si>
    <t>12-22</t>
  </si>
  <si>
    <t>Съели сетку</t>
  </si>
  <si>
    <t>Черных Анастасия</t>
  </si>
  <si>
    <t>подмена за куртку</t>
  </si>
  <si>
    <t>18:30 - 22:00</t>
  </si>
  <si>
    <t>19-22</t>
  </si>
  <si>
    <t>19:30-22</t>
  </si>
  <si>
    <t>17-19</t>
  </si>
  <si>
    <t>Съела сетку</t>
  </si>
  <si>
    <t>Несмеянова Елена</t>
  </si>
  <si>
    <t xml:space="preserve">Каприна Кира </t>
  </si>
  <si>
    <t>НЕТ 🅱️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</si>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</sst>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[$р.-419]#,##0.00"/>
    <numFmt numFmtId="166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1" fillId="0" fontId="1" numFmtId="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165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3" fillId="0" fontId="1" numFmtId="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6" fillId="0" fontId="1" numFmtId="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9" fillId="0" fontId="1" numFmtId="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10" fillId="0" fontId="1" numFmtId="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1" fillId="0" fontId="1" numFmtId="4" xfId="0" applyAlignment="1" applyBorder="1" applyFont="1" applyNumberFormat="1">
      <alignment readingOrder="0" shrinkToFit="0" vertical="center" wrapText="0"/>
    </xf>
    <xf borderId="11" fillId="0" fontId="1" numFmtId="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12" fillId="0" fontId="1" numFmtId="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6" fillId="0" fontId="1" numFmtId="166" xfId="0" applyAlignment="1" applyBorder="1" applyFont="1" applyNumberFormat="1">
      <alignment readingOrder="0" shrinkToFit="0" vertical="center" wrapText="0"/>
    </xf>
    <xf borderId="3" fillId="0" fontId="1" numFmtId="166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Полякова Анн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Черных Анастаси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Несмеянова Елен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априна Кира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0" displayName="Working" name="Working" id="1">
  <autoFilter ref="$A$1:$M$40"/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Полякова Анна-style" showColumnStripes="0" showFirstColumn="1" showLastColumn="1" showRowStripes="1"/>
</table>
</file>

<file path=xl/tables/table2.xml><?xml version="1.0" encoding="utf-8"?>
<table xmlns="http://schemas.openxmlformats.org/spreadsheetml/2006/main" ref="A1:M39" displayName="Таблица1" name="Таблица1" id="2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Черных Анастасия-style" showColumnStripes="0" showFirstColumn="1" showLastColumn="1" showRowStripes="1"/>
</table>
</file>

<file path=xl/tables/table3.xml><?xml version="1.0" encoding="utf-8"?>
<table xmlns="http://schemas.openxmlformats.org/spreadsheetml/2006/main" ref="A1:M20" displayName="Таблица1_3" name="Таблица1_3" id="3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Несмеянова Елена-style" showColumnStripes="0" showFirstColumn="1" showLastColumn="1" showRowStripes="1"/>
</table>
</file>

<file path=xl/tables/table4.xml><?xml version="1.0" encoding="utf-8"?>
<table xmlns="http://schemas.openxmlformats.org/spreadsheetml/2006/main" ref="A1:M43" displayName="Таблица1_2" name="Таблица1_2" id="4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Каприна Кира -style" showColumnStripes="0" showFirstColumn="1" showLastColumn="1" showRowStripes="1"/>
</table>
</file>

<file path=xl/tables/table5.xml><?xml version="1.0" encoding="utf-8"?>
<table xmlns="http://schemas.openxmlformats.org/spreadsheetml/2006/main" ref="A1:M20" displayName="Таблица2" name="Таблица2" id="5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TE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37.63"/>
    <col customWidth="1" min="8" max="8" width="22.0"/>
    <col customWidth="1" min="9" max="9" width="14.7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4">
        <v>46038.0</v>
      </c>
      <c r="C2" s="3" t="s">
        <v>14</v>
      </c>
      <c r="D2" s="5">
        <v>4.0</v>
      </c>
      <c r="E2" s="6">
        <v>130.0</v>
      </c>
      <c r="F2" s="7">
        <f t="shared" ref="F2:F32" si="1">IF(K2="ДА ✅",(D2*E2),0)</f>
        <v>520</v>
      </c>
      <c r="G2" s="8"/>
      <c r="H2" s="6">
        <v>0.0</v>
      </c>
      <c r="I2" s="9"/>
      <c r="J2" s="10">
        <v>0.0</v>
      </c>
      <c r="K2" s="11" t="s">
        <v>15</v>
      </c>
      <c r="L2" s="12"/>
      <c r="M2" s="13"/>
    </row>
    <row r="3" ht="22.5" customHeight="1">
      <c r="A3" s="3" t="s">
        <v>13</v>
      </c>
      <c r="B3" s="4">
        <v>46039.0</v>
      </c>
      <c r="C3" s="3" t="s">
        <v>16</v>
      </c>
      <c r="D3" s="5">
        <v>12.0</v>
      </c>
      <c r="E3" s="6">
        <v>130.0</v>
      </c>
      <c r="F3" s="7">
        <f t="shared" si="1"/>
        <v>1560</v>
      </c>
      <c r="G3" s="8"/>
      <c r="H3" s="6">
        <v>0.0</v>
      </c>
      <c r="I3" s="9"/>
      <c r="J3" s="10">
        <v>0.0</v>
      </c>
      <c r="K3" s="11" t="s">
        <v>15</v>
      </c>
      <c r="L3" s="12">
        <f>SUM(J2:J6)</f>
        <v>0</v>
      </c>
      <c r="M3" s="13"/>
    </row>
    <row r="4" ht="22.5" customHeight="1">
      <c r="A4" s="3" t="s">
        <v>13</v>
      </c>
      <c r="B4" s="4">
        <v>46046.0</v>
      </c>
      <c r="C4" s="3" t="s">
        <v>17</v>
      </c>
      <c r="D4" s="5">
        <v>10.0</v>
      </c>
      <c r="E4" s="6">
        <v>130.0</v>
      </c>
      <c r="F4" s="7">
        <f t="shared" si="1"/>
        <v>1300</v>
      </c>
      <c r="G4" s="8"/>
      <c r="H4" s="6">
        <v>0.0</v>
      </c>
      <c r="I4" s="9"/>
      <c r="J4" s="10">
        <v>0.0</v>
      </c>
      <c r="K4" s="11" t="s">
        <v>15</v>
      </c>
      <c r="L4" s="12">
        <f>SUM(H2:H6)</f>
        <v>100</v>
      </c>
      <c r="M4" s="13"/>
    </row>
    <row r="5" ht="22.5" customHeight="1">
      <c r="A5" s="3" t="s">
        <v>13</v>
      </c>
      <c r="B5" s="4">
        <v>46052.0</v>
      </c>
      <c r="C5" s="3" t="s">
        <v>18</v>
      </c>
      <c r="D5" s="5">
        <v>5.0</v>
      </c>
      <c r="E5" s="6">
        <v>130.0</v>
      </c>
      <c r="F5" s="7">
        <f t="shared" si="1"/>
        <v>650</v>
      </c>
      <c r="G5" s="9"/>
      <c r="H5" s="6">
        <v>0.0</v>
      </c>
      <c r="I5" s="9"/>
      <c r="J5" s="10">
        <v>0.0</v>
      </c>
      <c r="K5" s="11" t="s">
        <v>15</v>
      </c>
      <c r="L5" s="14">
        <f>SUM(F2:F6)</f>
        <v>5590</v>
      </c>
      <c r="M5" s="15"/>
    </row>
    <row r="6" ht="22.5" customHeight="1">
      <c r="A6" s="16" t="s">
        <v>13</v>
      </c>
      <c r="B6" s="17">
        <v>46053.0</v>
      </c>
      <c r="C6" s="16" t="s">
        <v>16</v>
      </c>
      <c r="D6" s="18">
        <v>12.0</v>
      </c>
      <c r="E6" s="19">
        <v>130.0</v>
      </c>
      <c r="F6" s="20">
        <f t="shared" si="1"/>
        <v>1560</v>
      </c>
      <c r="G6" s="21" t="s">
        <v>19</v>
      </c>
      <c r="H6" s="19">
        <v>100.0</v>
      </c>
      <c r="I6" s="22"/>
      <c r="J6" s="23">
        <v>0.0</v>
      </c>
      <c r="K6" s="24" t="s">
        <v>15</v>
      </c>
      <c r="L6" s="25">
        <f>SUM(L3:L5)</f>
        <v>5690</v>
      </c>
      <c r="M6" s="26"/>
    </row>
    <row r="7" ht="22.5" customHeight="1">
      <c r="A7" s="3" t="s">
        <v>13</v>
      </c>
      <c r="B7" s="4">
        <v>46054.0</v>
      </c>
      <c r="C7" s="3" t="s">
        <v>18</v>
      </c>
      <c r="D7" s="5">
        <v>5.0</v>
      </c>
      <c r="E7" s="6">
        <v>130.0</v>
      </c>
      <c r="F7" s="7">
        <f t="shared" si="1"/>
        <v>650</v>
      </c>
      <c r="G7" s="9"/>
      <c r="H7" s="6">
        <f>(5*M7)/12</f>
        <v>0</v>
      </c>
      <c r="I7" s="8" t="s">
        <v>20</v>
      </c>
      <c r="J7" s="10">
        <f>3964/2</f>
        <v>1982</v>
      </c>
      <c r="K7" s="11" t="s">
        <v>15</v>
      </c>
      <c r="L7" s="12"/>
      <c r="M7" s="13"/>
    </row>
    <row r="8" ht="22.5" customHeight="1">
      <c r="A8" s="3" t="s">
        <v>13</v>
      </c>
      <c r="B8" s="4">
        <v>46055.0</v>
      </c>
      <c r="C8" s="3" t="s">
        <v>18</v>
      </c>
      <c r="D8" s="5">
        <v>5.0</v>
      </c>
      <c r="E8" s="6">
        <v>130.0</v>
      </c>
      <c r="F8" s="7">
        <f t="shared" si="1"/>
        <v>650</v>
      </c>
      <c r="G8" s="8"/>
      <c r="H8" s="6">
        <v>0.0</v>
      </c>
      <c r="I8" s="9"/>
      <c r="J8" s="10">
        <v>0.0</v>
      </c>
      <c r="K8" s="11" t="s">
        <v>15</v>
      </c>
      <c r="L8" s="12"/>
      <c r="M8" s="13"/>
    </row>
    <row r="9" ht="22.5" customHeight="1">
      <c r="A9" s="3" t="s">
        <v>13</v>
      </c>
      <c r="B9" s="4">
        <v>46056.0</v>
      </c>
      <c r="C9" s="3" t="s">
        <v>21</v>
      </c>
      <c r="D9" s="5">
        <v>8.0</v>
      </c>
      <c r="E9" s="6">
        <v>130.0</v>
      </c>
      <c r="F9" s="7">
        <f t="shared" si="1"/>
        <v>1040</v>
      </c>
      <c r="G9" s="8"/>
      <c r="H9" s="6">
        <v>0.0</v>
      </c>
      <c r="I9" s="9"/>
      <c r="J9" s="10">
        <v>0.0</v>
      </c>
      <c r="K9" s="11" t="s">
        <v>15</v>
      </c>
      <c r="L9" s="12"/>
      <c r="M9" s="13"/>
    </row>
    <row r="10" ht="22.5" customHeight="1">
      <c r="A10" s="3" t="s">
        <v>13</v>
      </c>
      <c r="B10" s="4">
        <v>46057.0</v>
      </c>
      <c r="C10" s="3" t="s">
        <v>18</v>
      </c>
      <c r="D10" s="5">
        <v>5.0</v>
      </c>
      <c r="E10" s="6">
        <v>130.0</v>
      </c>
      <c r="F10" s="7">
        <f t="shared" si="1"/>
        <v>650</v>
      </c>
      <c r="G10" s="9"/>
      <c r="H10" s="6">
        <v>0.0</v>
      </c>
      <c r="I10" s="9"/>
      <c r="J10" s="10">
        <v>0.0</v>
      </c>
      <c r="K10" s="11" t="s">
        <v>15</v>
      </c>
      <c r="L10" s="12"/>
      <c r="M10" s="27"/>
    </row>
    <row r="11" ht="22.5" customHeight="1">
      <c r="A11" s="3" t="s">
        <v>13</v>
      </c>
      <c r="B11" s="4">
        <v>46059.0</v>
      </c>
      <c r="C11" s="3" t="s">
        <v>22</v>
      </c>
      <c r="D11" s="5">
        <v>5.0</v>
      </c>
      <c r="E11" s="6">
        <v>130.0</v>
      </c>
      <c r="F11" s="7">
        <f t="shared" si="1"/>
        <v>650</v>
      </c>
      <c r="G11" s="8"/>
      <c r="H11" s="6">
        <v>0.0</v>
      </c>
      <c r="I11" s="9"/>
      <c r="J11" s="10">
        <v>0.0</v>
      </c>
      <c r="K11" s="11" t="s">
        <v>15</v>
      </c>
      <c r="L11" s="12"/>
      <c r="M11" s="13"/>
    </row>
    <row r="12" ht="22.5" customHeight="1">
      <c r="A12" s="3" t="s">
        <v>13</v>
      </c>
      <c r="B12" s="4">
        <v>46060.0</v>
      </c>
      <c r="C12" s="3" t="s">
        <v>16</v>
      </c>
      <c r="D12" s="5">
        <v>12.0</v>
      </c>
      <c r="E12" s="6">
        <v>130.0</v>
      </c>
      <c r="F12" s="7">
        <f t="shared" si="1"/>
        <v>1560</v>
      </c>
      <c r="G12" s="8"/>
      <c r="H12" s="6">
        <v>0.0</v>
      </c>
      <c r="I12" s="9"/>
      <c r="J12" s="10">
        <v>0.0</v>
      </c>
      <c r="K12" s="11" t="s">
        <v>15</v>
      </c>
      <c r="L12" s="12">
        <f>0-SUM(J7:J15)</f>
        <v>-1982</v>
      </c>
      <c r="M12" s="13"/>
    </row>
    <row r="13" ht="22.5" customHeight="1">
      <c r="A13" s="3" t="s">
        <v>13</v>
      </c>
      <c r="B13" s="4">
        <v>46066.0</v>
      </c>
      <c r="C13" s="3" t="s">
        <v>14</v>
      </c>
      <c r="D13" s="5">
        <v>4.0</v>
      </c>
      <c r="E13" s="6">
        <v>130.0</v>
      </c>
      <c r="F13" s="7">
        <f t="shared" si="1"/>
        <v>520</v>
      </c>
      <c r="G13" s="8" t="s">
        <v>23</v>
      </c>
      <c r="H13" s="6">
        <v>50.0</v>
      </c>
      <c r="I13" s="9"/>
      <c r="J13" s="10">
        <v>0.0</v>
      </c>
      <c r="K13" s="11" t="s">
        <v>15</v>
      </c>
      <c r="L13" s="12">
        <f>SUM(F6:F14)</f>
        <v>8840</v>
      </c>
      <c r="M13" s="13"/>
    </row>
    <row r="14" ht="22.5" customHeight="1">
      <c r="A14" s="3" t="s">
        <v>13</v>
      </c>
      <c r="B14" s="4">
        <v>46067.0</v>
      </c>
      <c r="C14" s="3" t="s">
        <v>16</v>
      </c>
      <c r="D14" s="5">
        <v>12.0</v>
      </c>
      <c r="E14" s="6">
        <v>130.0</v>
      </c>
      <c r="F14" s="7">
        <f t="shared" si="1"/>
        <v>1560</v>
      </c>
      <c r="G14" s="8" t="s">
        <v>24</v>
      </c>
      <c r="H14" s="6">
        <v>50.0</v>
      </c>
      <c r="I14" s="9"/>
      <c r="J14" s="10">
        <v>0.0</v>
      </c>
      <c r="K14" s="11" t="s">
        <v>15</v>
      </c>
      <c r="L14" s="14">
        <f>SUM(H8:H16)</f>
        <v>200</v>
      </c>
      <c r="M14" s="13"/>
    </row>
    <row r="15" ht="22.5" customHeight="1">
      <c r="A15" s="3" t="s">
        <v>13</v>
      </c>
      <c r="B15" s="4">
        <v>46074.0</v>
      </c>
      <c r="C15" s="3" t="s">
        <v>16</v>
      </c>
      <c r="D15" s="5">
        <v>12.0</v>
      </c>
      <c r="E15" s="6">
        <v>130.0</v>
      </c>
      <c r="F15" s="7">
        <f t="shared" si="1"/>
        <v>1560</v>
      </c>
      <c r="G15" s="8" t="s">
        <v>19</v>
      </c>
      <c r="H15" s="6">
        <v>100.0</v>
      </c>
      <c r="I15" s="9"/>
      <c r="J15" s="10">
        <v>0.0</v>
      </c>
      <c r="K15" s="11" t="s">
        <v>15</v>
      </c>
      <c r="L15" s="25">
        <f>SUM(L12:L14)</f>
        <v>7058</v>
      </c>
      <c r="M15" s="13"/>
    </row>
    <row r="16" ht="22.5" customHeight="1">
      <c r="A16" s="28" t="s">
        <v>13</v>
      </c>
      <c r="B16" s="29">
        <v>46087.0</v>
      </c>
      <c r="C16" s="28" t="s">
        <v>18</v>
      </c>
      <c r="D16" s="30">
        <v>5.0</v>
      </c>
      <c r="E16" s="31">
        <v>130.0</v>
      </c>
      <c r="F16" s="32">
        <f t="shared" si="1"/>
        <v>650</v>
      </c>
      <c r="G16" s="33"/>
      <c r="H16" s="31">
        <v>0.0</v>
      </c>
      <c r="I16" s="33"/>
      <c r="J16" s="34">
        <v>0.0</v>
      </c>
      <c r="K16" s="35" t="s">
        <v>15</v>
      </c>
      <c r="L16" s="36"/>
      <c r="M16" s="37"/>
    </row>
    <row r="17" ht="22.5" customHeight="1">
      <c r="A17" s="3" t="s">
        <v>13</v>
      </c>
      <c r="B17" s="4">
        <v>46088.0</v>
      </c>
      <c r="C17" s="3" t="s">
        <v>16</v>
      </c>
      <c r="D17" s="5">
        <v>12.0</v>
      </c>
      <c r="E17" s="6">
        <v>130.0</v>
      </c>
      <c r="F17" s="7">
        <f t="shared" si="1"/>
        <v>1560</v>
      </c>
      <c r="G17" s="9"/>
      <c r="H17" s="6">
        <v>0.0</v>
      </c>
      <c r="I17" s="9"/>
      <c r="J17" s="10">
        <v>0.0</v>
      </c>
      <c r="K17" s="11" t="s">
        <v>15</v>
      </c>
      <c r="L17" s="12"/>
      <c r="M17" s="13"/>
    </row>
    <row r="18" ht="22.5" customHeight="1">
      <c r="A18" s="3" t="s">
        <v>13</v>
      </c>
      <c r="B18" s="4">
        <v>46090.0</v>
      </c>
      <c r="C18" s="3" t="s">
        <v>18</v>
      </c>
      <c r="D18" s="5">
        <v>5.0</v>
      </c>
      <c r="E18" s="6">
        <v>130.0</v>
      </c>
      <c r="F18" s="7">
        <f t="shared" si="1"/>
        <v>650</v>
      </c>
      <c r="G18" s="8" t="s">
        <v>25</v>
      </c>
      <c r="H18" s="6">
        <v>200.0</v>
      </c>
      <c r="I18" s="9"/>
      <c r="J18" s="10">
        <v>0.0</v>
      </c>
      <c r="K18" s="11" t="s">
        <v>15</v>
      </c>
      <c r="L18" s="7"/>
      <c r="M18" s="13"/>
    </row>
    <row r="19" ht="22.5" customHeight="1">
      <c r="A19" s="3" t="s">
        <v>13</v>
      </c>
      <c r="B19" s="4">
        <v>46092.0</v>
      </c>
      <c r="C19" s="3" t="s">
        <v>26</v>
      </c>
      <c r="D19" s="5">
        <v>7.0</v>
      </c>
      <c r="E19" s="6">
        <v>130.0</v>
      </c>
      <c r="F19" s="7">
        <f t="shared" si="1"/>
        <v>910</v>
      </c>
      <c r="G19" s="9"/>
      <c r="H19" s="6">
        <v>0.0</v>
      </c>
      <c r="I19" s="9"/>
      <c r="J19" s="10">
        <v>0.0</v>
      </c>
      <c r="K19" s="11" t="s">
        <v>15</v>
      </c>
      <c r="L19" s="7"/>
      <c r="M19" s="13"/>
    </row>
    <row r="20" ht="22.5" customHeight="1">
      <c r="A20" s="3" t="s">
        <v>13</v>
      </c>
      <c r="B20" s="4">
        <v>46095.0</v>
      </c>
      <c r="C20" s="3" t="s">
        <v>27</v>
      </c>
      <c r="D20" s="5">
        <v>8.0</v>
      </c>
      <c r="E20" s="6">
        <v>130.0</v>
      </c>
      <c r="F20" s="7">
        <f t="shared" si="1"/>
        <v>1040</v>
      </c>
      <c r="G20" s="9"/>
      <c r="H20" s="6">
        <v>0.0</v>
      </c>
      <c r="I20" s="9"/>
      <c r="J20" s="10">
        <v>0.0</v>
      </c>
      <c r="K20" s="11" t="s">
        <v>15</v>
      </c>
      <c r="L20" s="38"/>
      <c r="M20" s="13"/>
    </row>
    <row r="21" ht="22.5" customHeight="1">
      <c r="A21" s="3" t="s">
        <v>13</v>
      </c>
      <c r="B21" s="39">
        <v>46096.0</v>
      </c>
      <c r="C21" s="3" t="s">
        <v>28</v>
      </c>
      <c r="D21" s="5">
        <v>9.0</v>
      </c>
      <c r="E21" s="6">
        <v>130.0</v>
      </c>
      <c r="F21" s="7">
        <f t="shared" si="1"/>
        <v>1170</v>
      </c>
      <c r="G21" s="9"/>
      <c r="H21" s="6">
        <v>0.0</v>
      </c>
      <c r="I21" s="9"/>
      <c r="J21" s="10">
        <v>0.0</v>
      </c>
      <c r="K21" s="11" t="s">
        <v>15</v>
      </c>
      <c r="L21" s="7"/>
      <c r="M21" s="13"/>
    </row>
    <row r="22" ht="22.5" customHeight="1">
      <c r="A22" s="3" t="s">
        <v>13</v>
      </c>
      <c r="B22" s="4">
        <v>46099.0</v>
      </c>
      <c r="C22" s="3" t="s">
        <v>29</v>
      </c>
      <c r="D22" s="5">
        <v>3.0</v>
      </c>
      <c r="E22" s="6">
        <v>130.0</v>
      </c>
      <c r="F22" s="7">
        <f t="shared" si="1"/>
        <v>390</v>
      </c>
      <c r="G22" s="9"/>
      <c r="H22" s="6">
        <v>0.0</v>
      </c>
      <c r="I22" s="9"/>
      <c r="J22" s="10">
        <v>0.0</v>
      </c>
      <c r="K22" s="11" t="s">
        <v>15</v>
      </c>
      <c r="L22" s="7"/>
      <c r="M22" s="13"/>
    </row>
    <row r="23" ht="22.5" customHeight="1">
      <c r="A23" s="3" t="s">
        <v>13</v>
      </c>
      <c r="B23" s="4">
        <v>46102.0</v>
      </c>
      <c r="C23" s="3" t="s">
        <v>30</v>
      </c>
      <c r="D23" s="5">
        <v>6.0</v>
      </c>
      <c r="E23" s="6">
        <v>130.0</v>
      </c>
      <c r="F23" s="7">
        <f t="shared" si="1"/>
        <v>780</v>
      </c>
      <c r="G23" s="9"/>
      <c r="H23" s="6">
        <v>0.0</v>
      </c>
      <c r="I23" s="9"/>
      <c r="J23" s="10">
        <v>0.0</v>
      </c>
      <c r="K23" s="11" t="s">
        <v>15</v>
      </c>
      <c r="L23" s="7">
        <f>SUM(H16:H28)</f>
        <v>300</v>
      </c>
      <c r="M23" s="13"/>
    </row>
    <row r="24" ht="22.5" customHeight="1">
      <c r="A24" s="3" t="s">
        <v>13</v>
      </c>
      <c r="B24" s="4">
        <v>46103.0</v>
      </c>
      <c r="C24" s="3" t="s">
        <v>31</v>
      </c>
      <c r="D24" s="5">
        <v>6.0</v>
      </c>
      <c r="E24" s="6">
        <v>130.0</v>
      </c>
      <c r="F24" s="7">
        <f t="shared" si="1"/>
        <v>780</v>
      </c>
      <c r="G24" s="9"/>
      <c r="H24" s="6">
        <v>0.0</v>
      </c>
      <c r="I24" s="9"/>
      <c r="J24" s="10">
        <v>0.0</v>
      </c>
      <c r="K24" s="11" t="s">
        <v>15</v>
      </c>
      <c r="L24" s="7">
        <f>SUM(J16:J28)</f>
        <v>0</v>
      </c>
      <c r="M24" s="13"/>
    </row>
    <row r="25" ht="22.5" customHeight="1">
      <c r="A25" s="3" t="s">
        <v>13</v>
      </c>
      <c r="B25" s="4">
        <v>46104.0</v>
      </c>
      <c r="C25" s="3" t="s">
        <v>18</v>
      </c>
      <c r="D25" s="5">
        <v>5.0</v>
      </c>
      <c r="E25" s="6">
        <v>130.0</v>
      </c>
      <c r="F25" s="7">
        <f t="shared" si="1"/>
        <v>650</v>
      </c>
      <c r="G25" s="9"/>
      <c r="H25" s="6">
        <v>0.0</v>
      </c>
      <c r="I25" s="9"/>
      <c r="J25" s="10">
        <v>0.0</v>
      </c>
      <c r="K25" s="11" t="s">
        <v>15</v>
      </c>
      <c r="L25" s="7">
        <f>SUM(F16:F28)</f>
        <v>11570</v>
      </c>
      <c r="M25" s="13"/>
    </row>
    <row r="26" ht="22.5" customHeight="1">
      <c r="A26" s="16" t="s">
        <v>13</v>
      </c>
      <c r="B26" s="17">
        <v>46110.0</v>
      </c>
      <c r="C26" s="16" t="s">
        <v>16</v>
      </c>
      <c r="D26" s="18">
        <v>12.0</v>
      </c>
      <c r="E26" s="19">
        <v>130.0</v>
      </c>
      <c r="F26" s="20">
        <f t="shared" si="1"/>
        <v>1560</v>
      </c>
      <c r="G26" s="21" t="s">
        <v>19</v>
      </c>
      <c r="H26" s="19">
        <v>100.0</v>
      </c>
      <c r="I26" s="22"/>
      <c r="J26" s="23">
        <v>0.0</v>
      </c>
      <c r="K26" s="24" t="s">
        <v>15</v>
      </c>
      <c r="L26" s="25">
        <f>L25+L23-L24</f>
        <v>11870</v>
      </c>
      <c r="M26" s="13"/>
    </row>
    <row r="27" ht="22.5" customHeight="1">
      <c r="A27" s="3" t="s">
        <v>13</v>
      </c>
      <c r="B27" s="4">
        <v>46115.0</v>
      </c>
      <c r="C27" s="3" t="s">
        <v>18</v>
      </c>
      <c r="D27" s="5">
        <v>5.0</v>
      </c>
      <c r="E27" s="6">
        <v>130.0</v>
      </c>
      <c r="F27" s="7">
        <f t="shared" si="1"/>
        <v>650</v>
      </c>
      <c r="G27" s="9"/>
      <c r="H27" s="6">
        <v>0.0</v>
      </c>
      <c r="I27" s="9"/>
      <c r="J27" s="10">
        <v>0.0</v>
      </c>
      <c r="K27" s="11" t="s">
        <v>15</v>
      </c>
      <c r="L27" s="38"/>
      <c r="M27" s="13"/>
    </row>
    <row r="28" ht="22.5" customHeight="1">
      <c r="A28" s="3" t="s">
        <v>13</v>
      </c>
      <c r="B28" s="4">
        <v>46116.0</v>
      </c>
      <c r="C28" s="3" t="s">
        <v>30</v>
      </c>
      <c r="D28" s="5">
        <v>6.0</v>
      </c>
      <c r="E28" s="6">
        <v>130.0</v>
      </c>
      <c r="F28" s="7">
        <f t="shared" si="1"/>
        <v>780</v>
      </c>
      <c r="G28" s="8"/>
      <c r="H28" s="6">
        <v>0.0</v>
      </c>
      <c r="I28" s="9"/>
      <c r="J28" s="10">
        <v>0.0</v>
      </c>
      <c r="K28" s="11" t="s">
        <v>15</v>
      </c>
      <c r="L28" s="38"/>
      <c r="M28" s="13"/>
    </row>
    <row r="29" ht="22.5" customHeight="1">
      <c r="A29" s="3" t="s">
        <v>13</v>
      </c>
      <c r="B29" s="40">
        <v>46117.0</v>
      </c>
      <c r="C29" s="41" t="s">
        <v>31</v>
      </c>
      <c r="D29" s="42">
        <v>6.0</v>
      </c>
      <c r="E29" s="12">
        <v>130.0</v>
      </c>
      <c r="F29" s="7">
        <f t="shared" si="1"/>
        <v>780</v>
      </c>
      <c r="G29" s="43"/>
      <c r="H29" s="12">
        <v>0.0</v>
      </c>
      <c r="I29" s="44"/>
      <c r="J29" s="45">
        <v>0.0</v>
      </c>
      <c r="K29" s="46" t="s">
        <v>15</v>
      </c>
      <c r="L29" s="47"/>
      <c r="M29" s="15"/>
    </row>
    <row r="30" ht="22.5" customHeight="1">
      <c r="A30" s="3" t="s">
        <v>13</v>
      </c>
      <c r="B30" s="40">
        <v>46128.0</v>
      </c>
      <c r="C30" s="41" t="s">
        <v>32</v>
      </c>
      <c r="D30" s="42">
        <v>10.0</v>
      </c>
      <c r="E30" s="12">
        <v>130.0</v>
      </c>
      <c r="F30" s="7">
        <f t="shared" si="1"/>
        <v>1300</v>
      </c>
      <c r="G30" s="43"/>
      <c r="H30" s="12">
        <v>0.0</v>
      </c>
      <c r="I30" s="44"/>
      <c r="J30" s="45">
        <v>0.0</v>
      </c>
      <c r="K30" s="46" t="s">
        <v>15</v>
      </c>
      <c r="L30" s="47"/>
      <c r="M30" s="15"/>
    </row>
    <row r="31" ht="22.5" customHeight="1">
      <c r="A31" s="3" t="s">
        <v>13</v>
      </c>
      <c r="B31" s="40">
        <v>46130.0</v>
      </c>
      <c r="C31" s="41" t="s">
        <v>31</v>
      </c>
      <c r="D31" s="42">
        <v>6.0</v>
      </c>
      <c r="E31" s="12">
        <v>130.0</v>
      </c>
      <c r="F31" s="7">
        <f t="shared" si="1"/>
        <v>780</v>
      </c>
      <c r="G31" s="43"/>
      <c r="H31" s="12">
        <v>0.0</v>
      </c>
      <c r="I31" s="44"/>
      <c r="J31" s="45">
        <v>0.0</v>
      </c>
      <c r="K31" s="46" t="s">
        <v>15</v>
      </c>
      <c r="L31" s="47"/>
      <c r="M31" s="15"/>
    </row>
    <row r="32" ht="22.5" customHeight="1">
      <c r="A32" s="3" t="s">
        <v>13</v>
      </c>
      <c r="B32" s="40">
        <v>46132.0</v>
      </c>
      <c r="C32" s="41" t="s">
        <v>18</v>
      </c>
      <c r="D32" s="42">
        <v>5.0</v>
      </c>
      <c r="E32" s="12">
        <v>130.0</v>
      </c>
      <c r="F32" s="7">
        <f t="shared" si="1"/>
        <v>650</v>
      </c>
      <c r="G32" s="43"/>
      <c r="H32" s="12">
        <v>0.0</v>
      </c>
      <c r="I32" s="43" t="s">
        <v>33</v>
      </c>
      <c r="J32" s="45">
        <v>455.0</v>
      </c>
      <c r="K32" s="46" t="s">
        <v>15</v>
      </c>
      <c r="L32" s="47">
        <f>SUM(F27:F37)</f>
        <v>7150</v>
      </c>
      <c r="M32" s="15"/>
    </row>
    <row r="33" ht="22.5" customHeight="1">
      <c r="A33" s="3" t="s">
        <v>13</v>
      </c>
      <c r="B33" s="40">
        <v>46137.0</v>
      </c>
      <c r="C33" s="41" t="s">
        <v>30</v>
      </c>
      <c r="D33" s="42">
        <v>6.0</v>
      </c>
      <c r="E33" s="12">
        <v>130.0</v>
      </c>
      <c r="F33" s="6">
        <v>780.0</v>
      </c>
      <c r="G33" s="43"/>
      <c r="H33" s="12">
        <v>0.0</v>
      </c>
      <c r="I33" s="44"/>
      <c r="J33" s="45">
        <v>0.0</v>
      </c>
      <c r="K33" s="46" t="s">
        <v>15</v>
      </c>
      <c r="L33" s="47">
        <f>SUM(H27:H37)</f>
        <v>0</v>
      </c>
      <c r="M33" s="15"/>
    </row>
    <row r="34" ht="22.5" customHeight="1">
      <c r="A34" s="3" t="s">
        <v>13</v>
      </c>
      <c r="B34" s="40">
        <v>46138.0</v>
      </c>
      <c r="C34" s="41" t="s">
        <v>31</v>
      </c>
      <c r="D34" s="42">
        <v>6.0</v>
      </c>
      <c r="E34" s="12">
        <v>130.0</v>
      </c>
      <c r="F34" s="7">
        <f t="shared" ref="F34:F35" si="2">IF(K34="ДА ✅",(D34*E34),0)</f>
        <v>780</v>
      </c>
      <c r="G34" s="43"/>
      <c r="H34" s="12">
        <v>0.0</v>
      </c>
      <c r="I34" s="44"/>
      <c r="J34" s="45">
        <v>0.0</v>
      </c>
      <c r="K34" s="46" t="s">
        <v>15</v>
      </c>
      <c r="L34" s="48">
        <f>0-SUM(J27:J37)</f>
        <v>-455</v>
      </c>
      <c r="M34" s="15"/>
    </row>
    <row r="35" ht="22.5" customHeight="1">
      <c r="A35" s="49" t="s">
        <v>13</v>
      </c>
      <c r="B35" s="50">
        <v>46139.0</v>
      </c>
      <c r="C35" s="49" t="s">
        <v>18</v>
      </c>
      <c r="D35" s="51">
        <v>5.0</v>
      </c>
      <c r="E35" s="52">
        <v>130.0</v>
      </c>
      <c r="F35" s="20">
        <f t="shared" si="2"/>
        <v>650</v>
      </c>
      <c r="G35" s="53"/>
      <c r="H35" s="52">
        <v>0.0</v>
      </c>
      <c r="I35" s="54"/>
      <c r="J35" s="55">
        <v>0.0</v>
      </c>
      <c r="K35" s="56" t="s">
        <v>15</v>
      </c>
      <c r="L35" s="57">
        <f>SUM(L32:L34)</f>
        <v>6695</v>
      </c>
      <c r="M35" s="58"/>
    </row>
    <row r="36" ht="22.5" customHeight="1">
      <c r="A36" s="41"/>
      <c r="B36" s="40"/>
      <c r="C36" s="59"/>
      <c r="D36" s="42"/>
      <c r="E36" s="12"/>
      <c r="F36" s="60"/>
      <c r="G36" s="43"/>
      <c r="H36" s="12"/>
      <c r="I36" s="44"/>
      <c r="J36" s="45"/>
      <c r="K36" s="61"/>
      <c r="L36" s="7"/>
      <c r="M36" s="15"/>
    </row>
    <row r="37" ht="22.5" customHeight="1">
      <c r="A37" s="41"/>
      <c r="B37" s="40"/>
      <c r="C37" s="59"/>
      <c r="D37" s="42"/>
      <c r="E37" s="12"/>
      <c r="F37" s="60"/>
      <c r="G37" s="43"/>
      <c r="H37" s="12"/>
      <c r="I37" s="44"/>
      <c r="J37" s="45"/>
      <c r="K37" s="61"/>
      <c r="L37" s="7"/>
      <c r="M37" s="15"/>
    </row>
    <row r="38" ht="22.5" customHeight="1">
      <c r="B38" s="62"/>
      <c r="D38" s="63"/>
      <c r="E38" s="7"/>
      <c r="F38" s="7"/>
      <c r="G38" s="9"/>
      <c r="H38" s="7"/>
      <c r="I38" s="9"/>
      <c r="J38" s="64"/>
      <c r="K38" s="65"/>
      <c r="L38" s="7"/>
      <c r="M38" s="15"/>
    </row>
    <row r="39" ht="22.5" customHeight="1">
      <c r="B39" s="62"/>
      <c r="D39" s="63"/>
      <c r="E39" s="7"/>
      <c r="F39" s="7"/>
      <c r="G39" s="9"/>
      <c r="H39" s="7"/>
      <c r="I39" s="9"/>
      <c r="J39" s="64"/>
      <c r="K39" s="65"/>
      <c r="L39" s="7"/>
      <c r="M39" s="15"/>
    </row>
    <row r="40" ht="22.5" customHeight="1">
      <c r="B40" s="62"/>
      <c r="D40" s="63"/>
      <c r="E40" s="7"/>
      <c r="F40" s="7"/>
      <c r="G40" s="9"/>
      <c r="H40" s="7"/>
      <c r="I40" s="9"/>
      <c r="J40" s="64"/>
      <c r="K40" s="65"/>
      <c r="L40" s="7"/>
      <c r="M40" s="15"/>
    </row>
  </sheetData>
  <dataValidations>
    <dataValidation type="custom" allowBlank="1" showDropDown="1" sqref="B2:B40">
      <formula1>OR(NOT(ISERROR(DATEVALUE(B2))), AND(ISNUMBER(B2), LEFT(CELL("format", B2))="D"))</formula1>
    </dataValidation>
    <dataValidation type="list" allowBlank="1" sqref="K2:K40">
      <formula1>"ДА ✅,НЕТ 🅱️"</formula1>
    </dataValidation>
    <dataValidation type="custom" allowBlank="1" showDropDown="1" sqref="D2:F40 H2:H40 J2:J40 L2:M40">
      <formula1>AND(ISNUMBER(D2),(NOT(OR(NOT(ISERROR(DATEVALUE(D2))), AND(ISNUMBER(D2), LEFT(CELL("format", D2))="D")))))</formula1>
    </dataValidation>
    <dataValidation allowBlank="1" showDropDown="1" sqref="G2:G40 I2:I4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34</v>
      </c>
      <c r="B2" s="4">
        <v>46058.0</v>
      </c>
      <c r="C2" s="3" t="s">
        <v>14</v>
      </c>
      <c r="D2" s="5">
        <v>4.0</v>
      </c>
      <c r="E2" s="6">
        <v>130.0</v>
      </c>
      <c r="F2" s="7">
        <f t="shared" ref="F2:F39" si="1">IF(K2="ДА ✅",(D2*E2),0)</f>
        <v>520</v>
      </c>
      <c r="G2" s="8"/>
      <c r="H2" s="6">
        <f>(9*M2)/12</f>
        <v>0</v>
      </c>
      <c r="I2" s="8" t="s">
        <v>35</v>
      </c>
      <c r="J2" s="10">
        <f>3964/2</f>
        <v>1982</v>
      </c>
      <c r="K2" s="11" t="s">
        <v>15</v>
      </c>
      <c r="L2" s="12"/>
      <c r="M2" s="13"/>
    </row>
    <row r="3" ht="22.5" customHeight="1">
      <c r="A3" s="3" t="s">
        <v>34</v>
      </c>
      <c r="B3" s="4">
        <v>46061.0</v>
      </c>
      <c r="C3" s="3" t="s">
        <v>16</v>
      </c>
      <c r="D3" s="5">
        <v>12.0</v>
      </c>
      <c r="E3" s="6">
        <v>130.0</v>
      </c>
      <c r="F3" s="7">
        <f t="shared" si="1"/>
        <v>1560</v>
      </c>
      <c r="G3" s="8"/>
      <c r="H3" s="6">
        <f t="shared" ref="H3:H9" si="2">(5*M3)/12</f>
        <v>0</v>
      </c>
      <c r="I3" s="9"/>
      <c r="J3" s="10">
        <v>0.0</v>
      </c>
      <c r="K3" s="11" t="s">
        <v>15</v>
      </c>
      <c r="L3" s="7"/>
      <c r="M3" s="13"/>
    </row>
    <row r="4" ht="22.5" customHeight="1">
      <c r="A4" s="3" t="s">
        <v>34</v>
      </c>
      <c r="B4" s="4">
        <v>46064.0</v>
      </c>
      <c r="C4" s="3" t="s">
        <v>16</v>
      </c>
      <c r="D4" s="5">
        <v>12.0</v>
      </c>
      <c r="E4" s="6">
        <v>130.0</v>
      </c>
      <c r="F4" s="7">
        <f t="shared" si="1"/>
        <v>1560</v>
      </c>
      <c r="G4" s="8"/>
      <c r="H4" s="6">
        <f t="shared" si="2"/>
        <v>0</v>
      </c>
      <c r="I4" s="9"/>
      <c r="J4" s="10">
        <v>0.0</v>
      </c>
      <c r="K4" s="11" t="s">
        <v>15</v>
      </c>
      <c r="L4" s="7"/>
      <c r="M4" s="13"/>
    </row>
    <row r="5" ht="22.5" customHeight="1">
      <c r="A5" s="3" t="s">
        <v>34</v>
      </c>
      <c r="B5" s="4">
        <v>46068.0</v>
      </c>
      <c r="C5" s="3" t="s">
        <v>16</v>
      </c>
      <c r="D5" s="5">
        <v>12.0</v>
      </c>
      <c r="E5" s="6">
        <v>130.0</v>
      </c>
      <c r="F5" s="7">
        <f t="shared" si="1"/>
        <v>1560</v>
      </c>
      <c r="G5" s="9"/>
      <c r="H5" s="6">
        <f t="shared" si="2"/>
        <v>0</v>
      </c>
      <c r="I5" s="9"/>
      <c r="J5" s="10">
        <v>0.0</v>
      </c>
      <c r="K5" s="11" t="s">
        <v>15</v>
      </c>
      <c r="L5" s="38"/>
      <c r="M5" s="15"/>
    </row>
    <row r="6" ht="22.5" customHeight="1">
      <c r="A6" s="3" t="s">
        <v>34</v>
      </c>
      <c r="B6" s="4">
        <v>46071.0</v>
      </c>
      <c r="C6" s="3" t="s">
        <v>22</v>
      </c>
      <c r="D6" s="5">
        <v>7.0</v>
      </c>
      <c r="E6" s="6">
        <v>130.0</v>
      </c>
      <c r="F6" s="7">
        <f t="shared" si="1"/>
        <v>910</v>
      </c>
      <c r="G6" s="9"/>
      <c r="H6" s="6">
        <f t="shared" si="2"/>
        <v>0</v>
      </c>
      <c r="I6" s="9"/>
      <c r="J6" s="10">
        <v>0.0</v>
      </c>
      <c r="K6" s="11" t="s">
        <v>15</v>
      </c>
      <c r="L6" s="12"/>
      <c r="M6" s="13"/>
    </row>
    <row r="7" ht="22.5" customHeight="1">
      <c r="A7" s="3" t="s">
        <v>34</v>
      </c>
      <c r="B7" s="4">
        <v>46073.0</v>
      </c>
      <c r="C7" s="3" t="s">
        <v>18</v>
      </c>
      <c r="D7" s="5">
        <v>5.0</v>
      </c>
      <c r="E7" s="6">
        <v>130.0</v>
      </c>
      <c r="F7" s="7">
        <f t="shared" si="1"/>
        <v>650</v>
      </c>
      <c r="G7" s="9"/>
      <c r="H7" s="6">
        <f t="shared" si="2"/>
        <v>0</v>
      </c>
      <c r="I7" s="9"/>
      <c r="J7" s="10">
        <v>0.0</v>
      </c>
      <c r="K7" s="11" t="s">
        <v>15</v>
      </c>
      <c r="L7" s="12">
        <f>SUM(J2:J10)</f>
        <v>1982</v>
      </c>
      <c r="M7" s="13"/>
    </row>
    <row r="8" ht="22.5" customHeight="1">
      <c r="A8" s="3" t="s">
        <v>34</v>
      </c>
      <c r="B8" s="4">
        <v>46075.0</v>
      </c>
      <c r="C8" s="3" t="s">
        <v>16</v>
      </c>
      <c r="D8" s="5">
        <v>12.0</v>
      </c>
      <c r="E8" s="6">
        <v>130.0</v>
      </c>
      <c r="F8" s="7">
        <f t="shared" si="1"/>
        <v>1560</v>
      </c>
      <c r="G8" s="8"/>
      <c r="H8" s="6">
        <f t="shared" si="2"/>
        <v>0</v>
      </c>
      <c r="I8" s="9"/>
      <c r="J8" s="10">
        <v>0.0</v>
      </c>
      <c r="K8" s="11" t="s">
        <v>15</v>
      </c>
      <c r="L8" s="12">
        <f>SUM(H2:H10)</f>
        <v>100</v>
      </c>
      <c r="M8" s="13"/>
    </row>
    <row r="9" ht="22.5" customHeight="1">
      <c r="A9" s="3" t="s">
        <v>34</v>
      </c>
      <c r="B9" s="4">
        <v>46076.0</v>
      </c>
      <c r="C9" s="3" t="s">
        <v>36</v>
      </c>
      <c r="D9" s="5">
        <v>3.5</v>
      </c>
      <c r="E9" s="6">
        <v>130.0</v>
      </c>
      <c r="F9" s="7">
        <f t="shared" si="1"/>
        <v>455</v>
      </c>
      <c r="G9" s="8"/>
      <c r="H9" s="6">
        <f t="shared" si="2"/>
        <v>0</v>
      </c>
      <c r="I9" s="9"/>
      <c r="J9" s="10">
        <v>0.0</v>
      </c>
      <c r="K9" s="11" t="s">
        <v>15</v>
      </c>
      <c r="L9" s="14">
        <f>SUM(F2:F10)</f>
        <v>10335</v>
      </c>
      <c r="M9" s="13"/>
    </row>
    <row r="10" ht="22.5" customHeight="1">
      <c r="A10" s="16" t="s">
        <v>34</v>
      </c>
      <c r="B10" s="17">
        <v>46078.0</v>
      </c>
      <c r="C10" s="16" t="s">
        <v>16</v>
      </c>
      <c r="D10" s="18">
        <v>12.0</v>
      </c>
      <c r="E10" s="19">
        <v>130.0</v>
      </c>
      <c r="F10" s="20">
        <f t="shared" si="1"/>
        <v>1560</v>
      </c>
      <c r="G10" s="21" t="s">
        <v>19</v>
      </c>
      <c r="H10" s="19">
        <v>100.0</v>
      </c>
      <c r="I10" s="22"/>
      <c r="J10" s="23">
        <v>0.0</v>
      </c>
      <c r="K10" s="24" t="s">
        <v>15</v>
      </c>
      <c r="L10" s="25">
        <f>L8+L9-L7</f>
        <v>8453</v>
      </c>
      <c r="M10" s="26"/>
    </row>
    <row r="11" ht="22.5" customHeight="1">
      <c r="A11" s="3" t="s">
        <v>34</v>
      </c>
      <c r="B11" s="4">
        <v>46082.0</v>
      </c>
      <c r="C11" s="3" t="s">
        <v>16</v>
      </c>
      <c r="D11" s="5">
        <v>12.0</v>
      </c>
      <c r="E11" s="6">
        <v>130.0</v>
      </c>
      <c r="F11" s="7">
        <f t="shared" si="1"/>
        <v>1560</v>
      </c>
      <c r="G11" s="9"/>
      <c r="H11" s="6">
        <v>0.0</v>
      </c>
      <c r="I11" s="9"/>
      <c r="J11" s="10">
        <v>0.0</v>
      </c>
      <c r="K11" s="11" t="s">
        <v>15</v>
      </c>
      <c r="L11" s="38"/>
      <c r="M11" s="15"/>
    </row>
    <row r="12" ht="22.5" customHeight="1">
      <c r="A12" s="3" t="s">
        <v>34</v>
      </c>
      <c r="B12" s="4">
        <v>46084.0</v>
      </c>
      <c r="C12" s="3" t="s">
        <v>37</v>
      </c>
      <c r="D12" s="5">
        <v>3.0</v>
      </c>
      <c r="E12" s="6">
        <v>130.0</v>
      </c>
      <c r="F12" s="7">
        <f t="shared" si="1"/>
        <v>390</v>
      </c>
      <c r="G12" s="9"/>
      <c r="H12" s="6">
        <v>200.0</v>
      </c>
      <c r="I12" s="9"/>
      <c r="J12" s="10">
        <v>0.0</v>
      </c>
      <c r="K12" s="11" t="s">
        <v>15</v>
      </c>
      <c r="L12" s="38"/>
      <c r="M12" s="66"/>
    </row>
    <row r="13" ht="22.5" customHeight="1">
      <c r="A13" s="3" t="s">
        <v>34</v>
      </c>
      <c r="B13" s="4">
        <v>46085.0</v>
      </c>
      <c r="C13" s="3" t="s">
        <v>18</v>
      </c>
      <c r="D13" s="5">
        <v>5.0</v>
      </c>
      <c r="E13" s="6">
        <v>130.0</v>
      </c>
      <c r="F13" s="7">
        <f t="shared" si="1"/>
        <v>650</v>
      </c>
      <c r="G13" s="9"/>
      <c r="H13" s="6">
        <v>0.0</v>
      </c>
      <c r="I13" s="9"/>
      <c r="J13" s="10">
        <v>0.0</v>
      </c>
      <c r="K13" s="11" t="s">
        <v>15</v>
      </c>
      <c r="L13" s="14"/>
      <c r="M13" s="15"/>
    </row>
    <row r="14" ht="22.5" customHeight="1">
      <c r="A14" s="3" t="s">
        <v>34</v>
      </c>
      <c r="B14" s="4">
        <v>46089.0</v>
      </c>
      <c r="C14" s="3" t="s">
        <v>16</v>
      </c>
      <c r="D14" s="5">
        <v>12.0</v>
      </c>
      <c r="E14" s="6">
        <v>130.0</v>
      </c>
      <c r="F14" s="7">
        <f t="shared" si="1"/>
        <v>1560</v>
      </c>
      <c r="G14" s="8" t="s">
        <v>25</v>
      </c>
      <c r="H14" s="6">
        <v>200.0</v>
      </c>
      <c r="I14" s="9"/>
      <c r="J14" s="10">
        <v>0.0</v>
      </c>
      <c r="K14" s="11" t="s">
        <v>15</v>
      </c>
      <c r="L14" s="14"/>
      <c r="M14" s="15"/>
    </row>
    <row r="15" ht="22.5" customHeight="1">
      <c r="A15" s="3" t="s">
        <v>34</v>
      </c>
      <c r="B15" s="4">
        <v>46092.0</v>
      </c>
      <c r="C15" s="3" t="s">
        <v>18</v>
      </c>
      <c r="D15" s="5">
        <v>5.0</v>
      </c>
      <c r="E15" s="6">
        <v>130.0</v>
      </c>
      <c r="F15" s="7">
        <f t="shared" si="1"/>
        <v>650</v>
      </c>
      <c r="G15" s="9"/>
      <c r="H15" s="6">
        <v>0.0</v>
      </c>
      <c r="I15" s="9"/>
      <c r="J15" s="10">
        <v>0.0</v>
      </c>
      <c r="K15" s="11" t="s">
        <v>15</v>
      </c>
      <c r="L15" s="14"/>
      <c r="M15" s="15"/>
    </row>
    <row r="16" ht="22.5" customHeight="1">
      <c r="A16" s="3" t="s">
        <v>34</v>
      </c>
      <c r="B16" s="4">
        <v>46095.0</v>
      </c>
      <c r="C16" s="3" t="s">
        <v>14</v>
      </c>
      <c r="D16" s="5">
        <v>4.0</v>
      </c>
      <c r="E16" s="6">
        <v>130.0</v>
      </c>
      <c r="F16" s="7">
        <f t="shared" si="1"/>
        <v>520</v>
      </c>
      <c r="G16" s="9"/>
      <c r="H16" s="6">
        <v>0.0</v>
      </c>
      <c r="I16" s="9"/>
      <c r="J16" s="10">
        <v>0.0</v>
      </c>
      <c r="K16" s="11" t="s">
        <v>15</v>
      </c>
      <c r="L16" s="12"/>
      <c r="M16" s="13"/>
    </row>
    <row r="17" ht="22.5" customHeight="1">
      <c r="A17" s="3" t="s">
        <v>34</v>
      </c>
      <c r="B17" s="4">
        <v>46096.0</v>
      </c>
      <c r="C17" s="3" t="s">
        <v>37</v>
      </c>
      <c r="D17" s="5">
        <v>3.0</v>
      </c>
      <c r="E17" s="6">
        <v>130.0</v>
      </c>
      <c r="F17" s="7">
        <f t="shared" si="1"/>
        <v>390</v>
      </c>
      <c r="G17" s="9"/>
      <c r="H17" s="6">
        <v>0.0</v>
      </c>
      <c r="I17" s="9"/>
      <c r="J17" s="10">
        <v>0.0</v>
      </c>
      <c r="K17" s="11" t="s">
        <v>15</v>
      </c>
      <c r="L17" s="12"/>
      <c r="M17" s="13"/>
    </row>
    <row r="18" ht="22.5" customHeight="1">
      <c r="A18" s="3" t="s">
        <v>34</v>
      </c>
      <c r="B18" s="4">
        <v>46099.0</v>
      </c>
      <c r="C18" s="3" t="s">
        <v>31</v>
      </c>
      <c r="D18" s="5">
        <v>6.0</v>
      </c>
      <c r="E18" s="6">
        <v>130.0</v>
      </c>
      <c r="F18" s="7">
        <f t="shared" si="1"/>
        <v>780</v>
      </c>
      <c r="G18" s="9"/>
      <c r="H18" s="6">
        <v>0.0</v>
      </c>
      <c r="I18" s="9"/>
      <c r="J18" s="10">
        <v>0.0</v>
      </c>
      <c r="K18" s="11" t="s">
        <v>15</v>
      </c>
      <c r="L18" s="12"/>
      <c r="M18" s="13"/>
    </row>
    <row r="19" ht="22.5" customHeight="1">
      <c r="A19" s="3" t="s">
        <v>34</v>
      </c>
      <c r="B19" s="4">
        <v>46102.0</v>
      </c>
      <c r="C19" s="3" t="s">
        <v>31</v>
      </c>
      <c r="D19" s="5">
        <v>6.0</v>
      </c>
      <c r="E19" s="6">
        <v>130.0</v>
      </c>
      <c r="F19" s="7">
        <f t="shared" si="1"/>
        <v>780</v>
      </c>
      <c r="G19" s="9"/>
      <c r="H19" s="6">
        <v>0.0</v>
      </c>
      <c r="I19" s="9"/>
      <c r="J19" s="10">
        <v>0.0</v>
      </c>
      <c r="K19" s="11" t="s">
        <v>15</v>
      </c>
      <c r="L19" s="7"/>
      <c r="M19" s="13"/>
    </row>
    <row r="20" ht="22.5" customHeight="1">
      <c r="A20" s="3" t="s">
        <v>34</v>
      </c>
      <c r="B20" s="4">
        <v>46103.0</v>
      </c>
      <c r="C20" s="3" t="s">
        <v>30</v>
      </c>
      <c r="D20" s="5">
        <v>6.0</v>
      </c>
      <c r="E20" s="6">
        <v>130.0</v>
      </c>
      <c r="F20" s="7">
        <f t="shared" si="1"/>
        <v>780</v>
      </c>
      <c r="G20" s="9"/>
      <c r="H20" s="6">
        <v>0.0</v>
      </c>
      <c r="I20" s="9"/>
      <c r="J20" s="10">
        <v>0.0</v>
      </c>
      <c r="K20" s="11" t="s">
        <v>15</v>
      </c>
      <c r="L20" s="7"/>
      <c r="M20" s="13"/>
    </row>
    <row r="21" ht="22.5" customHeight="1">
      <c r="A21" s="3" t="s">
        <v>34</v>
      </c>
      <c r="B21" s="4">
        <v>46106.0</v>
      </c>
      <c r="C21" s="3" t="s">
        <v>18</v>
      </c>
      <c r="D21" s="5">
        <v>5.0</v>
      </c>
      <c r="E21" s="6">
        <v>130.0</v>
      </c>
      <c r="F21" s="7">
        <f t="shared" si="1"/>
        <v>650</v>
      </c>
      <c r="G21" s="9"/>
      <c r="H21" s="6">
        <v>0.0</v>
      </c>
      <c r="I21" s="9"/>
      <c r="J21" s="10">
        <v>0.0</v>
      </c>
      <c r="K21" s="11" t="s">
        <v>15</v>
      </c>
      <c r="L21" s="14">
        <f>SUM(F11:F24)</f>
        <v>11245</v>
      </c>
      <c r="M21" s="15"/>
    </row>
    <row r="22" ht="22.5" customHeight="1">
      <c r="A22" s="3" t="s">
        <v>34</v>
      </c>
      <c r="B22" s="4">
        <v>46107.0</v>
      </c>
      <c r="C22" s="3" t="s">
        <v>38</v>
      </c>
      <c r="D22" s="5">
        <v>2.5</v>
      </c>
      <c r="E22" s="6">
        <v>130.0</v>
      </c>
      <c r="F22" s="7">
        <f t="shared" si="1"/>
        <v>325</v>
      </c>
      <c r="G22" s="9"/>
      <c r="H22" s="6">
        <v>0.0</v>
      </c>
      <c r="I22" s="9"/>
      <c r="J22" s="10">
        <v>0.0</v>
      </c>
      <c r="K22" s="11" t="s">
        <v>15</v>
      </c>
      <c r="L22" s="12">
        <f>SUM(H11:H24)</f>
        <v>500</v>
      </c>
      <c r="M22" s="13"/>
    </row>
    <row r="23" ht="22.5" customHeight="1">
      <c r="A23" s="3" t="s">
        <v>34</v>
      </c>
      <c r="B23" s="40">
        <v>46109.0</v>
      </c>
      <c r="C23" s="41" t="s">
        <v>16</v>
      </c>
      <c r="D23" s="42">
        <v>12.0</v>
      </c>
      <c r="E23" s="6">
        <v>130.0</v>
      </c>
      <c r="F23" s="7">
        <f t="shared" si="1"/>
        <v>1560</v>
      </c>
      <c r="G23" s="44"/>
      <c r="H23" s="6">
        <v>0.0</v>
      </c>
      <c r="I23" s="44"/>
      <c r="J23" s="10">
        <v>0.0</v>
      </c>
      <c r="K23" s="46" t="s">
        <v>15</v>
      </c>
      <c r="L23" s="14">
        <f>0-SUM(J11:J24)</f>
        <v>0</v>
      </c>
      <c r="M23" s="15"/>
    </row>
    <row r="24" ht="22.5" customHeight="1">
      <c r="A24" s="41" t="s">
        <v>34</v>
      </c>
      <c r="B24" s="40">
        <v>46111.0</v>
      </c>
      <c r="C24" s="41" t="s">
        <v>18</v>
      </c>
      <c r="D24" s="42">
        <v>5.0</v>
      </c>
      <c r="E24" s="6">
        <v>130.0</v>
      </c>
      <c r="F24" s="7">
        <f t="shared" si="1"/>
        <v>650</v>
      </c>
      <c r="G24" s="21" t="s">
        <v>19</v>
      </c>
      <c r="H24" s="6">
        <v>100.0</v>
      </c>
      <c r="I24" s="44"/>
      <c r="J24" s="10">
        <v>0.0</v>
      </c>
      <c r="K24" s="46" t="s">
        <v>15</v>
      </c>
      <c r="L24" s="25">
        <f>SUM(L21:L23)</f>
        <v>11745</v>
      </c>
      <c r="M24" s="15"/>
    </row>
    <row r="25" ht="22.5" customHeight="1">
      <c r="A25" s="28" t="s">
        <v>34</v>
      </c>
      <c r="B25" s="67">
        <v>46113.0</v>
      </c>
      <c r="C25" s="68" t="s">
        <v>18</v>
      </c>
      <c r="D25" s="69">
        <v>5.0</v>
      </c>
      <c r="E25" s="31">
        <v>130.0</v>
      </c>
      <c r="F25" s="32">
        <f t="shared" si="1"/>
        <v>650</v>
      </c>
      <c r="G25" s="70"/>
      <c r="H25" s="36">
        <v>0.0</v>
      </c>
      <c r="I25" s="70"/>
      <c r="J25" s="71">
        <v>0.0</v>
      </c>
      <c r="K25" s="72" t="s">
        <v>15</v>
      </c>
      <c r="L25" s="73"/>
      <c r="M25" s="74"/>
    </row>
    <row r="26" ht="22.5" customHeight="1">
      <c r="A26" s="3" t="s">
        <v>34</v>
      </c>
      <c r="B26" s="40">
        <v>46116.0</v>
      </c>
      <c r="C26" s="41" t="s">
        <v>31</v>
      </c>
      <c r="D26" s="42">
        <v>6.0</v>
      </c>
      <c r="E26" s="6">
        <v>130.0</v>
      </c>
      <c r="F26" s="7">
        <f t="shared" si="1"/>
        <v>780</v>
      </c>
      <c r="G26" s="44"/>
      <c r="H26" s="12">
        <v>0.0</v>
      </c>
      <c r="I26" s="44"/>
      <c r="J26" s="45">
        <v>0.0</v>
      </c>
      <c r="K26" s="46" t="s">
        <v>15</v>
      </c>
      <c r="L26" s="47"/>
      <c r="M26" s="15"/>
    </row>
    <row r="27" ht="22.5" customHeight="1">
      <c r="A27" s="3" t="s">
        <v>34</v>
      </c>
      <c r="B27" s="40">
        <v>46117.0</v>
      </c>
      <c r="C27" s="41" t="s">
        <v>30</v>
      </c>
      <c r="D27" s="42">
        <v>6.0</v>
      </c>
      <c r="E27" s="6">
        <v>130.0</v>
      </c>
      <c r="F27" s="7">
        <f t="shared" si="1"/>
        <v>780</v>
      </c>
      <c r="G27" s="44"/>
      <c r="H27" s="12">
        <v>0.0</v>
      </c>
      <c r="I27" s="44"/>
      <c r="J27" s="45">
        <v>0.0</v>
      </c>
      <c r="K27" s="46" t="s">
        <v>15</v>
      </c>
      <c r="L27" s="47"/>
      <c r="M27" s="15"/>
    </row>
    <row r="28" ht="22.5" customHeight="1">
      <c r="A28" s="3" t="s">
        <v>34</v>
      </c>
      <c r="B28" s="40">
        <v>46120.0</v>
      </c>
      <c r="C28" s="41" t="s">
        <v>31</v>
      </c>
      <c r="D28" s="42">
        <v>6.0</v>
      </c>
      <c r="E28" s="6">
        <v>130.0</v>
      </c>
      <c r="F28" s="60">
        <f t="shared" si="1"/>
        <v>780</v>
      </c>
      <c r="G28" s="44"/>
      <c r="H28" s="12">
        <v>0.0</v>
      </c>
      <c r="I28" s="44"/>
      <c r="J28" s="45">
        <v>0.0</v>
      </c>
      <c r="K28" s="46" t="s">
        <v>15</v>
      </c>
      <c r="L28" s="38"/>
      <c r="M28" s="15"/>
    </row>
    <row r="29" ht="22.5" customHeight="1">
      <c r="A29" s="3" t="s">
        <v>34</v>
      </c>
      <c r="B29" s="40">
        <v>46123.0</v>
      </c>
      <c r="C29" s="41" t="s">
        <v>16</v>
      </c>
      <c r="D29" s="42">
        <v>12.0</v>
      </c>
      <c r="E29" s="6">
        <v>130.0</v>
      </c>
      <c r="F29" s="60">
        <f t="shared" si="1"/>
        <v>1560</v>
      </c>
      <c r="G29" s="44"/>
      <c r="H29" s="12">
        <v>0.0</v>
      </c>
      <c r="I29" s="44"/>
      <c r="J29" s="45">
        <v>0.0</v>
      </c>
      <c r="K29" s="46" t="s">
        <v>15</v>
      </c>
      <c r="L29" s="38"/>
      <c r="M29" s="15"/>
    </row>
    <row r="30" ht="22.5" customHeight="1">
      <c r="A30" s="3" t="s">
        <v>34</v>
      </c>
      <c r="B30" s="40">
        <v>46124.0</v>
      </c>
      <c r="C30" s="41" t="s">
        <v>16</v>
      </c>
      <c r="D30" s="42">
        <v>12.0</v>
      </c>
      <c r="E30" s="6">
        <v>130.0</v>
      </c>
      <c r="F30" s="60">
        <f t="shared" si="1"/>
        <v>1560</v>
      </c>
      <c r="G30" s="44"/>
      <c r="H30" s="12">
        <v>0.0</v>
      </c>
      <c r="I30" s="44"/>
      <c r="J30" s="45">
        <v>0.0</v>
      </c>
      <c r="K30" s="46" t="s">
        <v>15</v>
      </c>
      <c r="L30" s="38"/>
      <c r="M30" s="15"/>
    </row>
    <row r="31" ht="22.5" customHeight="1">
      <c r="A31" s="3" t="s">
        <v>34</v>
      </c>
      <c r="B31" s="40">
        <v>46125.0</v>
      </c>
      <c r="C31" s="41" t="s">
        <v>39</v>
      </c>
      <c r="D31" s="42">
        <v>2.0</v>
      </c>
      <c r="E31" s="6">
        <v>130.0</v>
      </c>
      <c r="F31" s="60">
        <f t="shared" si="1"/>
        <v>260</v>
      </c>
      <c r="G31" s="44"/>
      <c r="H31" s="12">
        <v>0.0</v>
      </c>
      <c r="I31" s="44"/>
      <c r="J31" s="45">
        <v>0.0</v>
      </c>
      <c r="K31" s="46" t="s">
        <v>15</v>
      </c>
      <c r="L31" s="38"/>
      <c r="M31" s="15"/>
    </row>
    <row r="32" ht="22.5" customHeight="1">
      <c r="A32" s="3" t="s">
        <v>34</v>
      </c>
      <c r="B32" s="4">
        <v>46127.0</v>
      </c>
      <c r="C32" s="3" t="s">
        <v>18</v>
      </c>
      <c r="D32" s="5">
        <v>5.0</v>
      </c>
      <c r="E32" s="6">
        <v>130.0</v>
      </c>
      <c r="F32" s="60">
        <f t="shared" si="1"/>
        <v>650</v>
      </c>
      <c r="G32" s="9"/>
      <c r="H32" s="12">
        <v>0.0</v>
      </c>
      <c r="I32" s="9"/>
      <c r="J32" s="45">
        <v>0.0</v>
      </c>
      <c r="K32" s="11" t="s">
        <v>15</v>
      </c>
      <c r="L32" s="38"/>
      <c r="M32" s="66"/>
    </row>
    <row r="33" ht="22.5" customHeight="1">
      <c r="A33" s="3" t="s">
        <v>34</v>
      </c>
      <c r="B33" s="4">
        <v>46130.0</v>
      </c>
      <c r="C33" s="3" t="s">
        <v>31</v>
      </c>
      <c r="D33" s="5">
        <v>6.0</v>
      </c>
      <c r="E33" s="6">
        <v>130.0</v>
      </c>
      <c r="F33" s="60">
        <f t="shared" si="1"/>
        <v>780</v>
      </c>
      <c r="H33" s="12">
        <v>0.0</v>
      </c>
      <c r="J33" s="45">
        <v>0.0</v>
      </c>
      <c r="K33" s="11" t="s">
        <v>15</v>
      </c>
      <c r="L33" s="38"/>
    </row>
    <row r="34" ht="22.5" customHeight="1">
      <c r="A34" s="3" t="s">
        <v>34</v>
      </c>
      <c r="B34" s="4">
        <v>46131.0</v>
      </c>
      <c r="C34" s="3" t="s">
        <v>30</v>
      </c>
      <c r="D34" s="5">
        <v>6.0</v>
      </c>
      <c r="E34" s="6">
        <v>130.0</v>
      </c>
      <c r="F34" s="60">
        <f t="shared" si="1"/>
        <v>780</v>
      </c>
      <c r="H34" s="12">
        <v>0.0</v>
      </c>
      <c r="J34" s="45">
        <v>0.0</v>
      </c>
      <c r="K34" s="11" t="s">
        <v>15</v>
      </c>
      <c r="L34" s="38"/>
    </row>
    <row r="35" ht="22.5" customHeight="1">
      <c r="A35" s="3" t="s">
        <v>34</v>
      </c>
      <c r="B35" s="4">
        <v>46134.0</v>
      </c>
      <c r="C35" s="3" t="s">
        <v>18</v>
      </c>
      <c r="D35" s="5">
        <v>5.0</v>
      </c>
      <c r="E35" s="6">
        <v>130.0</v>
      </c>
      <c r="F35" s="60">
        <f t="shared" si="1"/>
        <v>650</v>
      </c>
      <c r="H35" s="12">
        <v>0.0</v>
      </c>
      <c r="I35" s="8" t="s">
        <v>40</v>
      </c>
      <c r="J35" s="45">
        <v>455.0</v>
      </c>
      <c r="K35" s="11" t="s">
        <v>15</v>
      </c>
      <c r="L35" s="38"/>
    </row>
    <row r="36" ht="22.5" customHeight="1">
      <c r="A36" s="3" t="s">
        <v>34</v>
      </c>
      <c r="B36" s="4">
        <v>46137.0</v>
      </c>
      <c r="C36" s="3" t="s">
        <v>31</v>
      </c>
      <c r="D36" s="5">
        <v>6.0</v>
      </c>
      <c r="E36" s="6">
        <v>130.0</v>
      </c>
      <c r="F36" s="60">
        <f t="shared" si="1"/>
        <v>780</v>
      </c>
      <c r="H36" s="12">
        <v>0.0</v>
      </c>
      <c r="J36" s="45">
        <v>0.0</v>
      </c>
      <c r="K36" s="11" t="s">
        <v>15</v>
      </c>
      <c r="L36" s="47">
        <f>SUM(F25:F39)</f>
        <v>10790</v>
      </c>
    </row>
    <row r="37" ht="22.5" customHeight="1">
      <c r="A37" s="3" t="s">
        <v>34</v>
      </c>
      <c r="B37" s="4">
        <v>46138.0</v>
      </c>
      <c r="C37" s="3" t="s">
        <v>30</v>
      </c>
      <c r="D37" s="5">
        <v>6.0</v>
      </c>
      <c r="E37" s="6">
        <v>130.0</v>
      </c>
      <c r="F37" s="60">
        <f t="shared" si="1"/>
        <v>780</v>
      </c>
      <c r="H37" s="12">
        <v>0.0</v>
      </c>
      <c r="J37" s="45">
        <v>0.0</v>
      </c>
      <c r="K37" s="11" t="s">
        <v>15</v>
      </c>
      <c r="L37" s="47">
        <f>SUM(H25:H39)</f>
        <v>0</v>
      </c>
    </row>
    <row r="38" ht="22.5" customHeight="1">
      <c r="A38" s="3" t="s">
        <v>34</v>
      </c>
      <c r="B38" s="4">
        <v>46141.0</v>
      </c>
      <c r="C38" s="3" t="s">
        <v>14</v>
      </c>
      <c r="D38" s="5">
        <v>4.0</v>
      </c>
      <c r="E38" s="6">
        <v>130.0</v>
      </c>
      <c r="F38" s="60">
        <f t="shared" si="1"/>
        <v>0</v>
      </c>
      <c r="H38" s="12">
        <v>0.0</v>
      </c>
      <c r="J38" s="45">
        <v>0.0</v>
      </c>
      <c r="L38" s="47">
        <f>0-SUM(J25:J39)</f>
        <v>-455</v>
      </c>
    </row>
    <row r="39" ht="22.5" customHeight="1">
      <c r="A39" s="41" t="s">
        <v>34</v>
      </c>
      <c r="B39" s="40"/>
      <c r="C39" s="41"/>
      <c r="D39" s="42"/>
      <c r="E39" s="12">
        <v>130.0</v>
      </c>
      <c r="F39" s="60">
        <f t="shared" si="1"/>
        <v>0</v>
      </c>
      <c r="G39" s="44"/>
      <c r="H39" s="12">
        <v>0.0</v>
      </c>
      <c r="I39" s="44"/>
      <c r="J39" s="45">
        <v>0.0</v>
      </c>
      <c r="K39" s="61"/>
      <c r="L39" s="75">
        <f>SUM(L36:L38)</f>
        <v>10335</v>
      </c>
      <c r="M39" s="15"/>
    </row>
  </sheetData>
  <dataValidations>
    <dataValidation type="custom" allowBlank="1" showDropDown="1" sqref="B2:B39">
      <formula1>OR(NOT(ISERROR(DATEVALUE(B2))), AND(ISNUMBER(B2), LEFT(CELL("format", B2))="D"))</formula1>
    </dataValidation>
    <dataValidation type="list" allowBlank="1" sqref="K2:K39">
      <formula1>"ДА ✅,НЕТ 🅱️"</formula1>
    </dataValidation>
    <dataValidation type="custom" allowBlank="1" showDropDown="1" sqref="D2:F39 H2:H39 J2:J39 L2:M39">
      <formula1>AND(ISNUMBER(D2),(NOT(OR(NOT(ISERROR(DATEVALUE(D2))), AND(ISNUMBER(D2), LEFT(CELL("format", D2))="D")))))</formula1>
    </dataValidation>
    <dataValidation allowBlank="1" showDropDown="1" sqref="G2:G39 I2:I3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76" t="s">
        <v>41</v>
      </c>
      <c r="B2" s="29">
        <v>46141.0</v>
      </c>
      <c r="C2" s="28" t="s">
        <v>27</v>
      </c>
      <c r="D2" s="30">
        <v>8.0</v>
      </c>
      <c r="E2" s="31">
        <v>130.0</v>
      </c>
      <c r="F2" s="77">
        <f t="shared" ref="F2:F5" si="1">IF(K2="ДА ✅",(D2*E2),0)</f>
        <v>1040</v>
      </c>
      <c r="G2" s="33"/>
      <c r="H2" s="36">
        <v>0.0</v>
      </c>
      <c r="I2" s="33"/>
      <c r="J2" s="71">
        <v>0.0</v>
      </c>
      <c r="K2" s="35" t="s">
        <v>15</v>
      </c>
      <c r="L2" s="73">
        <f>0-SUM(J2:J3)</f>
        <v>0</v>
      </c>
      <c r="M2" s="78"/>
    </row>
    <row r="3" ht="22.5" customHeight="1">
      <c r="A3" s="79" t="s">
        <v>41</v>
      </c>
      <c r="B3" s="50">
        <v>46142.0</v>
      </c>
      <c r="C3" s="49" t="s">
        <v>27</v>
      </c>
      <c r="D3" s="51">
        <v>8.0</v>
      </c>
      <c r="E3" s="52">
        <v>130.0</v>
      </c>
      <c r="F3" s="80">
        <f t="shared" si="1"/>
        <v>0</v>
      </c>
      <c r="G3" s="54"/>
      <c r="H3" s="52">
        <v>0.0</v>
      </c>
      <c r="I3" s="54"/>
      <c r="J3" s="55">
        <v>0.0</v>
      </c>
      <c r="K3" s="81"/>
      <c r="L3" s="75">
        <f>SUM(L2)</f>
        <v>0</v>
      </c>
      <c r="M3" s="82"/>
    </row>
    <row r="4" ht="22.5" customHeight="1">
      <c r="A4" s="76" t="s">
        <v>41</v>
      </c>
      <c r="B4" s="29">
        <v>46143.0</v>
      </c>
      <c r="C4" s="28" t="s">
        <v>26</v>
      </c>
      <c r="D4" s="30">
        <v>7.0</v>
      </c>
      <c r="E4" s="31">
        <v>130.0</v>
      </c>
      <c r="F4" s="77">
        <f t="shared" si="1"/>
        <v>0</v>
      </c>
      <c r="G4" s="33"/>
      <c r="H4" s="36">
        <v>0.0</v>
      </c>
      <c r="I4" s="33"/>
      <c r="J4" s="71">
        <v>0.0</v>
      </c>
      <c r="K4" s="83"/>
      <c r="L4" s="60"/>
      <c r="M4" s="84"/>
    </row>
    <row r="5" ht="22.5" customHeight="1">
      <c r="A5" s="85" t="s">
        <v>41</v>
      </c>
      <c r="B5" s="40">
        <v>46146.0</v>
      </c>
      <c r="C5" s="41" t="s">
        <v>26</v>
      </c>
      <c r="D5" s="42">
        <v>7.0</v>
      </c>
      <c r="E5" s="12">
        <v>130.0</v>
      </c>
      <c r="F5" s="60">
        <f t="shared" si="1"/>
        <v>0</v>
      </c>
      <c r="G5" s="44"/>
      <c r="H5" s="12">
        <v>0.0</v>
      </c>
      <c r="I5" s="44"/>
      <c r="J5" s="45">
        <v>0.0</v>
      </c>
      <c r="K5" s="61"/>
      <c r="L5" s="60"/>
      <c r="M5" s="86"/>
    </row>
    <row r="6" ht="22.5" customHeight="1">
      <c r="A6" s="85"/>
      <c r="B6" s="4"/>
      <c r="D6" s="5"/>
      <c r="E6" s="6"/>
      <c r="F6" s="60"/>
      <c r="G6" s="9"/>
      <c r="H6" s="12"/>
      <c r="I6" s="9"/>
      <c r="J6" s="45"/>
      <c r="K6" s="65"/>
      <c r="L6" s="60"/>
      <c r="M6" s="87"/>
    </row>
    <row r="7" ht="22.5" customHeight="1">
      <c r="A7" s="85"/>
      <c r="B7" s="40"/>
      <c r="C7" s="41"/>
      <c r="D7" s="42"/>
      <c r="E7" s="12"/>
      <c r="F7" s="60"/>
      <c r="G7" s="44"/>
      <c r="H7" s="12"/>
      <c r="I7" s="44"/>
      <c r="J7" s="45"/>
      <c r="K7" s="61"/>
      <c r="L7" s="60"/>
      <c r="M7" s="86"/>
    </row>
    <row r="8" ht="22.5" customHeight="1">
      <c r="A8" s="85"/>
      <c r="B8" s="4"/>
      <c r="D8" s="5"/>
      <c r="E8" s="6"/>
      <c r="F8" s="60"/>
      <c r="G8" s="9"/>
      <c r="H8" s="12"/>
      <c r="I8" s="9"/>
      <c r="J8" s="45"/>
      <c r="K8" s="65"/>
      <c r="L8" s="60"/>
      <c r="M8" s="87"/>
    </row>
    <row r="9" ht="22.5" customHeight="1">
      <c r="A9" s="85"/>
      <c r="B9" s="40"/>
      <c r="C9" s="41"/>
      <c r="D9" s="42"/>
      <c r="E9" s="12"/>
      <c r="F9" s="60"/>
      <c r="G9" s="44"/>
      <c r="H9" s="12"/>
      <c r="I9" s="44"/>
      <c r="J9" s="45"/>
      <c r="K9" s="61"/>
      <c r="L9" s="60"/>
      <c r="M9" s="86"/>
    </row>
    <row r="10" ht="22.5" customHeight="1">
      <c r="A10" s="85"/>
      <c r="B10" s="4"/>
      <c r="D10" s="5"/>
      <c r="E10" s="6"/>
      <c r="F10" s="60"/>
      <c r="G10" s="9"/>
      <c r="H10" s="12"/>
      <c r="I10" s="9"/>
      <c r="J10" s="45"/>
      <c r="K10" s="65"/>
      <c r="L10" s="60"/>
      <c r="M10" s="87"/>
    </row>
    <row r="11" ht="22.5" customHeight="1">
      <c r="A11" s="85"/>
      <c r="B11" s="40"/>
      <c r="C11" s="41"/>
      <c r="D11" s="42"/>
      <c r="E11" s="12"/>
      <c r="F11" s="60"/>
      <c r="G11" s="44"/>
      <c r="H11" s="12"/>
      <c r="I11" s="44"/>
      <c r="J11" s="45"/>
      <c r="K11" s="61"/>
      <c r="L11" s="60"/>
      <c r="M11" s="86"/>
    </row>
    <row r="12" ht="22.5" customHeight="1">
      <c r="A12" s="85"/>
      <c r="B12" s="4"/>
      <c r="D12" s="5"/>
      <c r="E12" s="6"/>
      <c r="F12" s="60"/>
      <c r="G12" s="9"/>
      <c r="H12" s="12"/>
      <c r="I12" s="9"/>
      <c r="J12" s="45"/>
      <c r="K12" s="65"/>
      <c r="L12" s="60"/>
      <c r="M12" s="87"/>
    </row>
    <row r="13" ht="22.5" customHeight="1">
      <c r="A13" s="85"/>
      <c r="B13" s="40"/>
      <c r="C13" s="41"/>
      <c r="D13" s="42"/>
      <c r="E13" s="12"/>
      <c r="F13" s="60"/>
      <c r="G13" s="44"/>
      <c r="H13" s="12"/>
      <c r="I13" s="44"/>
      <c r="J13" s="45"/>
      <c r="K13" s="61"/>
      <c r="L13" s="60"/>
      <c r="M13" s="86"/>
    </row>
    <row r="14" ht="22.5" customHeight="1">
      <c r="A14" s="85"/>
      <c r="B14" s="4"/>
      <c r="D14" s="5"/>
      <c r="E14" s="6"/>
      <c r="F14" s="60"/>
      <c r="G14" s="9"/>
      <c r="H14" s="12"/>
      <c r="I14" s="9"/>
      <c r="J14" s="45"/>
      <c r="K14" s="65"/>
      <c r="L14" s="60"/>
      <c r="M14" s="87"/>
    </row>
    <row r="15" ht="22.5" customHeight="1">
      <c r="A15" s="85"/>
      <c r="B15" s="40"/>
      <c r="C15" s="41"/>
      <c r="D15" s="42"/>
      <c r="E15" s="12"/>
      <c r="F15" s="60"/>
      <c r="G15" s="44"/>
      <c r="H15" s="12"/>
      <c r="I15" s="44"/>
      <c r="J15" s="45"/>
      <c r="K15" s="61"/>
      <c r="L15" s="60"/>
      <c r="M15" s="86"/>
    </row>
    <row r="16" ht="22.5" customHeight="1">
      <c r="A16" s="85"/>
      <c r="B16" s="4"/>
      <c r="D16" s="5"/>
      <c r="E16" s="6"/>
      <c r="F16" s="60"/>
      <c r="G16" s="9"/>
      <c r="H16" s="12"/>
      <c r="I16" s="9"/>
      <c r="J16" s="45"/>
      <c r="K16" s="65"/>
      <c r="L16" s="60"/>
      <c r="M16" s="87"/>
    </row>
    <row r="17" ht="22.5" customHeight="1">
      <c r="A17" s="85"/>
      <c r="B17" s="40"/>
      <c r="C17" s="41"/>
      <c r="D17" s="42"/>
      <c r="E17" s="12"/>
      <c r="F17" s="60"/>
      <c r="G17" s="44"/>
      <c r="H17" s="12"/>
      <c r="I17" s="44"/>
      <c r="J17" s="45"/>
      <c r="K17" s="61"/>
      <c r="L17" s="60"/>
      <c r="M17" s="86"/>
    </row>
    <row r="18" ht="22.5" customHeight="1">
      <c r="A18" s="85"/>
      <c r="B18" s="4"/>
      <c r="D18" s="5"/>
      <c r="E18" s="6"/>
      <c r="F18" s="60"/>
      <c r="G18" s="9"/>
      <c r="H18" s="12"/>
      <c r="I18" s="9"/>
      <c r="J18" s="45"/>
      <c r="K18" s="65"/>
      <c r="L18" s="60"/>
      <c r="M18" s="87"/>
    </row>
    <row r="19" ht="22.5" customHeight="1">
      <c r="A19" s="85"/>
      <c r="B19" s="40"/>
      <c r="C19" s="41"/>
      <c r="D19" s="42"/>
      <c r="E19" s="12"/>
      <c r="F19" s="60"/>
      <c r="G19" s="44"/>
      <c r="H19" s="12"/>
      <c r="I19" s="44"/>
      <c r="J19" s="45"/>
      <c r="K19" s="61"/>
      <c r="L19" s="60"/>
      <c r="M19" s="86"/>
    </row>
    <row r="20" ht="22.5" customHeight="1">
      <c r="A20" s="79"/>
      <c r="B20" s="17"/>
      <c r="C20" s="16"/>
      <c r="D20" s="5"/>
      <c r="E20" s="19"/>
      <c r="F20" s="80"/>
      <c r="G20" s="22"/>
      <c r="H20" s="52"/>
      <c r="I20" s="22"/>
      <c r="J20" s="55"/>
      <c r="K20" s="88"/>
      <c r="L20" s="75"/>
      <c r="M20" s="89"/>
    </row>
  </sheetData>
  <dataValidations>
    <dataValidation type="custom" allowBlank="1" showDropDown="1" sqref="B2:B20">
      <formula1>OR(NOT(ISERROR(DATEVALUE(B2))), AND(ISNUMBER(B2), LEFT(CELL("format", B2))="D"))</formula1>
    </dataValidation>
    <dataValidation type="list" allowBlank="1" sqref="K2:K20">
      <formula1>"ДА ✅,НЕТ 🅱️"</formula1>
    </dataValidation>
    <dataValidation type="custom" allowBlank="1" showDropDown="1" sqref="D2:F20 H2:H20 J2:J20 L2:M20">
      <formula1>AND(ISNUMBER(D2),(NOT(OR(NOT(ISERROR(DATEVALUE(D2))), AND(ISNUMBER(D2), LEFT(CELL("format", D2))="D")))))</formula1>
    </dataValidation>
    <dataValidation allowBlank="1" showDropDown="1" sqref="G2:G20 I2:I2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42</v>
      </c>
      <c r="B2" s="4">
        <v>46140.0</v>
      </c>
      <c r="C2" s="3" t="s">
        <v>16</v>
      </c>
      <c r="D2" s="5">
        <v>12.0</v>
      </c>
      <c r="E2" s="6">
        <v>130.0</v>
      </c>
      <c r="F2" s="7">
        <f t="shared" ref="F2:F5" si="1">IF(K2="ДА ✅",(D2*E2),0)</f>
        <v>1560</v>
      </c>
      <c r="G2" s="8"/>
      <c r="H2" s="6">
        <v>0.0</v>
      </c>
      <c r="I2" s="8"/>
      <c r="J2" s="10">
        <v>0.0</v>
      </c>
      <c r="K2" s="11" t="s">
        <v>15</v>
      </c>
      <c r="L2" s="12"/>
      <c r="M2" s="13"/>
    </row>
    <row r="3" ht="22.5" customHeight="1">
      <c r="A3" s="16" t="s">
        <v>42</v>
      </c>
      <c r="B3" s="17">
        <v>46142.0</v>
      </c>
      <c r="C3" s="16" t="s">
        <v>14</v>
      </c>
      <c r="D3" s="18">
        <v>4.0</v>
      </c>
      <c r="E3" s="19">
        <v>130.0</v>
      </c>
      <c r="F3" s="20">
        <f t="shared" si="1"/>
        <v>0</v>
      </c>
      <c r="G3" s="21"/>
      <c r="H3" s="19">
        <v>0.0</v>
      </c>
      <c r="I3" s="22"/>
      <c r="J3" s="23">
        <v>0.0</v>
      </c>
      <c r="K3" s="24" t="s">
        <v>43</v>
      </c>
      <c r="L3" s="25">
        <f>SUM(F2:F3)+SUM(H2:H3)-SUM(J2:J3)</f>
        <v>1560</v>
      </c>
      <c r="M3" s="26"/>
    </row>
    <row r="4" ht="22.5" customHeight="1">
      <c r="A4" s="3" t="s">
        <v>42</v>
      </c>
      <c r="B4" s="4">
        <v>46147.0</v>
      </c>
      <c r="C4" s="3" t="s">
        <v>16</v>
      </c>
      <c r="D4" s="5">
        <v>12.0</v>
      </c>
      <c r="E4" s="6">
        <v>130.0</v>
      </c>
      <c r="F4" s="7">
        <f t="shared" si="1"/>
        <v>0</v>
      </c>
      <c r="G4" s="8"/>
      <c r="H4" s="6">
        <v>0.0</v>
      </c>
      <c r="I4" s="9"/>
      <c r="J4" s="10">
        <v>0.0</v>
      </c>
      <c r="K4" s="11" t="s">
        <v>43</v>
      </c>
      <c r="L4" s="7"/>
      <c r="M4" s="13"/>
    </row>
    <row r="5" ht="22.5" customHeight="1">
      <c r="A5" s="3" t="s">
        <v>42</v>
      </c>
      <c r="B5" s="4">
        <v>46150.0</v>
      </c>
      <c r="C5" s="3" t="s">
        <v>14</v>
      </c>
      <c r="D5" s="5">
        <v>4.0</v>
      </c>
      <c r="E5" s="6">
        <v>130.0</v>
      </c>
      <c r="F5" s="7">
        <f t="shared" si="1"/>
        <v>0</v>
      </c>
      <c r="G5" s="9"/>
      <c r="H5" s="6">
        <v>0.0</v>
      </c>
      <c r="I5" s="9"/>
      <c r="J5" s="10">
        <v>0.0</v>
      </c>
      <c r="K5" s="11" t="s">
        <v>43</v>
      </c>
      <c r="L5" s="12"/>
      <c r="M5" s="13"/>
    </row>
    <row r="6" ht="22.5" customHeight="1">
      <c r="B6" s="4"/>
      <c r="D6" s="5"/>
      <c r="E6" s="6"/>
      <c r="F6" s="7"/>
      <c r="G6" s="8"/>
      <c r="H6" s="6"/>
      <c r="I6" s="9"/>
      <c r="J6" s="10"/>
      <c r="K6" s="65"/>
      <c r="L6" s="12">
        <f>SUM(J4:J9)</f>
        <v>0</v>
      </c>
      <c r="M6" s="13"/>
    </row>
    <row r="7" ht="22.5" customHeight="1">
      <c r="B7" s="4"/>
      <c r="D7" s="5"/>
      <c r="E7" s="6"/>
      <c r="F7" s="7"/>
      <c r="G7" s="8"/>
      <c r="H7" s="6"/>
      <c r="I7" s="9"/>
      <c r="J7" s="10"/>
      <c r="K7" s="65"/>
      <c r="L7" s="12">
        <f>SUM(H4:H9)</f>
        <v>0</v>
      </c>
      <c r="M7" s="13"/>
    </row>
    <row r="8" ht="22.5" customHeight="1">
      <c r="B8" s="4"/>
      <c r="D8" s="5"/>
      <c r="E8" s="6"/>
      <c r="F8" s="7"/>
      <c r="G8" s="9"/>
      <c r="H8" s="6"/>
      <c r="I8" s="9"/>
      <c r="J8" s="10"/>
      <c r="K8" s="65"/>
      <c r="L8" s="14">
        <f>SUM(F4:F9)</f>
        <v>0</v>
      </c>
      <c r="M8" s="13"/>
    </row>
    <row r="9" ht="22.5" customHeight="1">
      <c r="A9" s="90"/>
      <c r="B9" s="17"/>
      <c r="C9" s="16"/>
      <c r="D9" s="18"/>
      <c r="E9" s="19"/>
      <c r="F9" s="20"/>
      <c r="G9" s="22"/>
      <c r="H9" s="19"/>
      <c r="I9" s="22"/>
      <c r="J9" s="23"/>
      <c r="K9" s="88"/>
      <c r="L9" s="25">
        <f>L7+L8-L6</f>
        <v>0</v>
      </c>
      <c r="M9" s="26"/>
    </row>
    <row r="10" ht="22.5" customHeight="1">
      <c r="B10" s="4"/>
      <c r="D10" s="63"/>
      <c r="E10" s="7"/>
      <c r="F10" s="7"/>
      <c r="G10" s="9"/>
      <c r="H10" s="7"/>
      <c r="I10" s="9"/>
      <c r="J10" s="64"/>
      <c r="K10" s="65"/>
      <c r="L10" s="38"/>
      <c r="M10" s="15"/>
    </row>
    <row r="11" ht="22.5" customHeight="1">
      <c r="B11" s="4"/>
      <c r="D11" s="63"/>
      <c r="E11" s="7"/>
      <c r="F11" s="7"/>
      <c r="G11" s="9"/>
      <c r="H11" s="7"/>
      <c r="I11" s="9"/>
      <c r="J11" s="64"/>
      <c r="K11" s="65"/>
      <c r="L11" s="38"/>
      <c r="M11" s="66"/>
    </row>
    <row r="12" ht="22.5" customHeight="1">
      <c r="B12" s="4"/>
      <c r="D12" s="5"/>
      <c r="E12" s="6"/>
      <c r="F12" s="7"/>
      <c r="G12" s="9"/>
      <c r="H12" s="6"/>
      <c r="I12" s="9"/>
      <c r="J12" s="10"/>
      <c r="K12" s="65"/>
      <c r="L12" s="14"/>
      <c r="M12" s="15"/>
    </row>
    <row r="13" ht="22.5" customHeight="1">
      <c r="B13" s="4"/>
      <c r="D13" s="5"/>
      <c r="E13" s="6"/>
      <c r="F13" s="7"/>
      <c r="G13" s="8"/>
      <c r="H13" s="6"/>
      <c r="I13" s="9"/>
      <c r="J13" s="10"/>
      <c r="K13" s="65"/>
      <c r="L13" s="14"/>
      <c r="M13" s="15"/>
    </row>
    <row r="14" ht="22.5" customHeight="1">
      <c r="B14" s="4"/>
      <c r="D14" s="5"/>
      <c r="E14" s="6"/>
      <c r="F14" s="7"/>
      <c r="G14" s="9"/>
      <c r="H14" s="6"/>
      <c r="I14" s="9"/>
      <c r="J14" s="10"/>
      <c r="K14" s="65"/>
      <c r="L14" s="14"/>
      <c r="M14" s="15"/>
    </row>
    <row r="15" ht="22.5" customHeight="1">
      <c r="B15" s="4"/>
      <c r="D15" s="5"/>
      <c r="E15" s="6"/>
      <c r="F15" s="7"/>
      <c r="G15" s="9"/>
      <c r="H15" s="6"/>
      <c r="I15" s="9"/>
      <c r="J15" s="10"/>
      <c r="K15" s="65"/>
      <c r="L15" s="14"/>
      <c r="M15" s="15"/>
    </row>
    <row r="16" ht="22.5" customHeight="1">
      <c r="B16" s="4"/>
      <c r="D16" s="5"/>
      <c r="E16" s="6"/>
      <c r="F16" s="7"/>
      <c r="G16" s="9"/>
      <c r="H16" s="6"/>
      <c r="I16" s="9"/>
      <c r="J16" s="10"/>
      <c r="K16" s="65"/>
      <c r="L16" s="14"/>
      <c r="M16" s="15"/>
    </row>
    <row r="17" ht="22.5" customHeight="1">
      <c r="B17" s="4"/>
      <c r="D17" s="5"/>
      <c r="E17" s="6"/>
      <c r="F17" s="7"/>
      <c r="G17" s="9"/>
      <c r="H17" s="6"/>
      <c r="I17" s="9"/>
      <c r="J17" s="10"/>
      <c r="K17" s="65"/>
      <c r="L17" s="14"/>
      <c r="M17" s="15"/>
    </row>
    <row r="18" ht="22.5" customHeight="1">
      <c r="B18" s="4"/>
      <c r="D18" s="5"/>
      <c r="E18" s="6"/>
      <c r="F18" s="7"/>
      <c r="G18" s="9"/>
      <c r="H18" s="6"/>
      <c r="I18" s="9"/>
      <c r="J18" s="10"/>
      <c r="K18" s="65"/>
      <c r="L18" s="38"/>
      <c r="M18" s="15"/>
    </row>
    <row r="19" ht="22.5" customHeight="1">
      <c r="A19" s="90"/>
      <c r="B19" s="17"/>
      <c r="C19" s="16"/>
      <c r="D19" s="18"/>
      <c r="E19" s="19"/>
      <c r="F19" s="20"/>
      <c r="G19" s="22"/>
      <c r="H19" s="19"/>
      <c r="I19" s="22"/>
      <c r="J19" s="23"/>
      <c r="K19" s="88"/>
      <c r="L19" s="25"/>
      <c r="M19" s="58"/>
    </row>
    <row r="20" ht="22.5" customHeight="1">
      <c r="B20" s="4"/>
      <c r="D20" s="5"/>
      <c r="E20" s="6"/>
      <c r="F20" s="7"/>
      <c r="G20" s="9"/>
      <c r="H20" s="6"/>
      <c r="I20" s="9"/>
      <c r="J20" s="10"/>
      <c r="K20" s="65"/>
      <c r="L20" s="14"/>
      <c r="M20" s="15"/>
    </row>
    <row r="21" ht="22.5" customHeight="1">
      <c r="B21" s="4"/>
      <c r="D21" s="5"/>
      <c r="E21" s="6"/>
      <c r="F21" s="7"/>
      <c r="G21" s="9"/>
      <c r="H21" s="6"/>
      <c r="I21" s="9"/>
      <c r="J21" s="10"/>
      <c r="K21" s="65"/>
      <c r="L21" s="14"/>
      <c r="M21" s="15"/>
    </row>
    <row r="22" ht="22.5" customHeight="1">
      <c r="B22" s="4"/>
      <c r="D22" s="42"/>
      <c r="E22" s="6"/>
      <c r="F22" s="7"/>
      <c r="G22" s="44"/>
      <c r="H22" s="6"/>
      <c r="I22" s="44"/>
      <c r="J22" s="10"/>
      <c r="K22" s="61"/>
      <c r="L22" s="14"/>
      <c r="M22" s="15"/>
    </row>
    <row r="23" ht="22.5" customHeight="1">
      <c r="B23" s="4"/>
      <c r="D23" s="42"/>
      <c r="E23" s="6"/>
      <c r="F23" s="7"/>
      <c r="G23" s="44"/>
      <c r="H23" s="6"/>
      <c r="I23" s="44"/>
      <c r="J23" s="10"/>
      <c r="K23" s="61"/>
      <c r="L23" s="38"/>
      <c r="M23" s="15"/>
    </row>
    <row r="24" ht="22.5" customHeight="1">
      <c r="B24" s="4"/>
      <c r="D24" s="42"/>
      <c r="E24" s="6"/>
      <c r="F24" s="7"/>
      <c r="G24" s="44"/>
      <c r="H24" s="6"/>
      <c r="I24" s="44"/>
      <c r="J24" s="10"/>
      <c r="K24" s="61"/>
      <c r="L24" s="38"/>
      <c r="M24" s="15"/>
    </row>
    <row r="25" ht="22.5" customHeight="1">
      <c r="B25" s="4"/>
      <c r="D25" s="42"/>
      <c r="E25" s="6"/>
      <c r="F25" s="7"/>
      <c r="G25" s="44"/>
      <c r="H25" s="6"/>
      <c r="I25" s="44"/>
      <c r="J25" s="10"/>
      <c r="K25" s="61"/>
      <c r="L25" s="14"/>
      <c r="M25" s="15"/>
    </row>
    <row r="26" ht="22.5" customHeight="1">
      <c r="B26" s="4"/>
      <c r="D26" s="42"/>
      <c r="E26" s="6"/>
      <c r="F26" s="7"/>
      <c r="G26" s="44"/>
      <c r="H26" s="6"/>
      <c r="I26" s="44"/>
      <c r="J26" s="10"/>
      <c r="K26" s="61"/>
      <c r="L26" s="14"/>
      <c r="M26" s="15"/>
    </row>
    <row r="27" ht="22.5" customHeight="1">
      <c r="B27" s="4"/>
      <c r="D27" s="42"/>
      <c r="E27" s="6"/>
      <c r="F27" s="7"/>
      <c r="G27" s="44"/>
      <c r="H27" s="6"/>
      <c r="I27" s="44"/>
      <c r="J27" s="10"/>
      <c r="K27" s="61"/>
      <c r="L27" s="38"/>
      <c r="M27" s="15"/>
    </row>
    <row r="28" ht="22.5" customHeight="1">
      <c r="A28" s="90"/>
      <c r="B28" s="17"/>
      <c r="C28" s="16"/>
      <c r="D28" s="51"/>
      <c r="E28" s="19"/>
      <c r="F28" s="20"/>
      <c r="G28" s="54"/>
      <c r="H28" s="19"/>
      <c r="I28" s="54"/>
      <c r="J28" s="23"/>
      <c r="K28" s="81"/>
      <c r="L28" s="25"/>
      <c r="M28" s="58"/>
    </row>
    <row r="29" ht="22.5" customHeight="1">
      <c r="B29" s="4"/>
      <c r="D29" s="42"/>
      <c r="E29" s="6"/>
      <c r="F29" s="7"/>
      <c r="G29" s="44"/>
      <c r="H29" s="6"/>
      <c r="I29" s="44"/>
      <c r="J29" s="10"/>
      <c r="K29" s="61"/>
      <c r="L29" s="7"/>
      <c r="M29" s="15"/>
    </row>
    <row r="30" ht="22.5" customHeight="1">
      <c r="A30" s="41"/>
      <c r="B30" s="40"/>
      <c r="D30" s="42"/>
      <c r="E30" s="6"/>
      <c r="F30" s="7"/>
      <c r="G30" s="44"/>
      <c r="H30" s="6"/>
      <c r="I30" s="44"/>
      <c r="J30" s="10"/>
      <c r="K30" s="61"/>
      <c r="L30" s="7"/>
      <c r="M30" s="15"/>
    </row>
    <row r="31" ht="22.5" customHeight="1">
      <c r="A31" s="41"/>
      <c r="B31" s="40"/>
      <c r="D31" s="42"/>
      <c r="E31" s="6"/>
      <c r="F31" s="7"/>
      <c r="G31" s="44"/>
      <c r="H31" s="6"/>
      <c r="I31" s="44"/>
      <c r="J31" s="10"/>
      <c r="K31" s="61"/>
      <c r="L31" s="7"/>
      <c r="M31" s="15"/>
    </row>
    <row r="32" ht="22.5" customHeight="1">
      <c r="A32" s="41"/>
      <c r="B32" s="40"/>
      <c r="D32" s="42"/>
      <c r="E32" s="6"/>
      <c r="F32" s="7"/>
      <c r="G32" s="44"/>
      <c r="H32" s="6"/>
      <c r="I32" s="44"/>
      <c r="J32" s="10"/>
      <c r="K32" s="61"/>
      <c r="L32" s="7"/>
      <c r="M32" s="15"/>
    </row>
    <row r="33" ht="22.5" customHeight="1">
      <c r="A33" s="41"/>
      <c r="B33" s="40"/>
      <c r="D33" s="42"/>
      <c r="E33" s="6"/>
      <c r="F33" s="7"/>
      <c r="G33" s="44"/>
      <c r="H33" s="6"/>
      <c r="I33" s="44"/>
      <c r="J33" s="10"/>
      <c r="K33" s="61"/>
      <c r="L33" s="7"/>
      <c r="M33" s="15"/>
    </row>
    <row r="34" ht="22.5" customHeight="1">
      <c r="A34" s="41"/>
      <c r="B34" s="40"/>
      <c r="D34" s="42"/>
      <c r="E34" s="6"/>
      <c r="F34" s="7"/>
      <c r="G34" s="44"/>
      <c r="H34" s="6"/>
      <c r="I34" s="44"/>
      <c r="J34" s="10"/>
      <c r="K34" s="61"/>
      <c r="L34" s="7"/>
      <c r="M34" s="15"/>
    </row>
    <row r="35" ht="22.5" customHeight="1">
      <c r="A35" s="41"/>
      <c r="B35" s="40"/>
      <c r="D35" s="42"/>
      <c r="E35" s="6"/>
      <c r="F35" s="7"/>
      <c r="G35" s="44"/>
      <c r="H35" s="6"/>
      <c r="I35" s="44"/>
      <c r="J35" s="10"/>
      <c r="K35" s="61"/>
      <c r="L35" s="7"/>
      <c r="M35" s="15"/>
    </row>
    <row r="36" ht="22.5" customHeight="1">
      <c r="A36" s="41"/>
      <c r="B36" s="40"/>
      <c r="D36" s="42"/>
      <c r="E36" s="6"/>
      <c r="F36" s="7"/>
      <c r="G36" s="44"/>
      <c r="H36" s="6"/>
      <c r="I36" s="44"/>
      <c r="J36" s="10"/>
      <c r="K36" s="61"/>
      <c r="L36" s="7"/>
      <c r="M36" s="15"/>
    </row>
    <row r="37" ht="22.5" customHeight="1">
      <c r="A37" s="41"/>
      <c r="B37" s="40"/>
      <c r="D37" s="42"/>
      <c r="E37" s="6"/>
      <c r="F37" s="7"/>
      <c r="G37" s="44"/>
      <c r="H37" s="6"/>
      <c r="I37" s="44"/>
      <c r="J37" s="10"/>
      <c r="K37" s="61"/>
      <c r="L37" s="7"/>
      <c r="M37" s="15"/>
    </row>
    <row r="38" ht="22.5" customHeight="1">
      <c r="A38" s="41"/>
      <c r="B38" s="40"/>
      <c r="D38" s="42"/>
      <c r="E38" s="6"/>
      <c r="F38" s="7"/>
      <c r="G38" s="44"/>
      <c r="H38" s="6"/>
      <c r="I38" s="44"/>
      <c r="J38" s="10"/>
      <c r="K38" s="61"/>
      <c r="L38" s="7"/>
      <c r="M38" s="15"/>
    </row>
    <row r="39" ht="22.5" customHeight="1">
      <c r="A39" s="41"/>
      <c r="B39" s="40"/>
      <c r="D39" s="42"/>
      <c r="E39" s="6"/>
      <c r="F39" s="7"/>
      <c r="G39" s="44"/>
      <c r="H39" s="6"/>
      <c r="I39" s="44"/>
      <c r="J39" s="10"/>
      <c r="K39" s="61"/>
      <c r="L39" s="7"/>
      <c r="M39" s="15"/>
    </row>
    <row r="40" ht="22.5" customHeight="1">
      <c r="A40" s="41"/>
      <c r="B40" s="40"/>
      <c r="D40" s="42"/>
      <c r="E40" s="6"/>
      <c r="F40" s="7"/>
      <c r="G40" s="44"/>
      <c r="H40" s="6"/>
      <c r="I40" s="44"/>
      <c r="J40" s="10"/>
      <c r="K40" s="61"/>
      <c r="L40" s="7"/>
      <c r="M40" s="15"/>
    </row>
    <row r="41" ht="22.5" customHeight="1">
      <c r="A41" s="41"/>
      <c r="B41" s="40"/>
      <c r="D41" s="42"/>
      <c r="E41" s="6"/>
      <c r="F41" s="7"/>
      <c r="G41" s="44"/>
      <c r="H41" s="6"/>
      <c r="I41" s="44"/>
      <c r="J41" s="10"/>
      <c r="K41" s="61"/>
      <c r="L41" s="7"/>
      <c r="M41" s="15"/>
    </row>
    <row r="42" ht="22.5" customHeight="1">
      <c r="A42" s="41"/>
      <c r="B42" s="40"/>
      <c r="D42" s="42"/>
      <c r="E42" s="6"/>
      <c r="F42" s="7"/>
      <c r="G42" s="44"/>
      <c r="H42" s="6"/>
      <c r="I42" s="44"/>
      <c r="J42" s="10"/>
      <c r="K42" s="61"/>
      <c r="L42" s="7"/>
      <c r="M42" s="15"/>
    </row>
    <row r="43" ht="22.5" customHeight="1">
      <c r="A43" s="41"/>
      <c r="B43" s="40"/>
      <c r="D43" s="42"/>
      <c r="E43" s="6"/>
      <c r="F43" s="7"/>
      <c r="G43" s="44"/>
      <c r="H43" s="6"/>
      <c r="I43" s="44"/>
      <c r="J43" s="10"/>
      <c r="K43" s="61"/>
      <c r="L43" s="7"/>
      <c r="M43" s="15"/>
    </row>
  </sheetData>
  <dataValidations>
    <dataValidation type="custom" allowBlank="1" showDropDown="1" sqref="B2:B43">
      <formula1>OR(NOT(ISERROR(DATEVALUE(B2))), AND(ISNUMBER(B2), LEFT(CELL("format", B2))="D"))</formula1>
    </dataValidation>
    <dataValidation type="list" allowBlank="1" sqref="K2:K43">
      <formula1>"ДА ✅,НЕТ 🅱️"</formula1>
    </dataValidation>
    <dataValidation type="custom" allowBlank="1" showDropDown="1" sqref="D2:F43 H2:H43 J2:J43 L2:M43">
      <formula1>AND(ISNUMBER(D2),(NOT(OR(NOT(ISERROR(DATEVALUE(D2))), AND(ISNUMBER(D2), LEFT(CELL("format", D2))="D")))))</formula1>
    </dataValidation>
    <dataValidation allowBlank="1" showDropDown="1" sqref="G2:G43 I2:I43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3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76" t="s">
        <v>44</v>
      </c>
      <c r="B2" s="29">
        <v>46139.0</v>
      </c>
      <c r="C2" s="91">
        <v>46336.0</v>
      </c>
      <c r="D2" s="30">
        <v>1.0</v>
      </c>
      <c r="E2" s="31">
        <v>130.0</v>
      </c>
      <c r="F2" s="77">
        <f t="shared" ref="F2:F3" si="1">IF(K2="ДА ✅",(D2*E2),0)</f>
        <v>130</v>
      </c>
      <c r="G2" s="33"/>
      <c r="H2" s="36">
        <v>0.0</v>
      </c>
      <c r="I2" s="33"/>
      <c r="J2" s="71">
        <v>0.0</v>
      </c>
      <c r="K2" s="35" t="s">
        <v>15</v>
      </c>
      <c r="L2" s="73">
        <f>SUM(F2:F3)</f>
        <v>260</v>
      </c>
      <c r="M2" s="78"/>
    </row>
    <row r="3" ht="22.5" customHeight="1">
      <c r="A3" s="79" t="s">
        <v>44</v>
      </c>
      <c r="B3" s="50">
        <v>46146.0</v>
      </c>
      <c r="C3" s="92">
        <v>46336.0</v>
      </c>
      <c r="D3" s="51">
        <v>1.0</v>
      </c>
      <c r="E3" s="52">
        <v>130.0</v>
      </c>
      <c r="F3" s="80">
        <f t="shared" si="1"/>
        <v>130</v>
      </c>
      <c r="G3" s="54"/>
      <c r="H3" s="52">
        <v>0.0</v>
      </c>
      <c r="I3" s="54"/>
      <c r="J3" s="55">
        <v>0.0</v>
      </c>
      <c r="K3" s="56" t="s">
        <v>15</v>
      </c>
      <c r="L3" s="75">
        <f>SUM(L2)</f>
        <v>260</v>
      </c>
      <c r="M3" s="82"/>
    </row>
    <row r="4" ht="22.5" customHeight="1">
      <c r="A4" s="41"/>
      <c r="B4" s="4"/>
      <c r="C4" s="93"/>
      <c r="D4" s="5"/>
      <c r="E4" s="6"/>
      <c r="F4" s="60"/>
      <c r="G4" s="9"/>
      <c r="H4" s="12"/>
      <c r="I4" s="9"/>
      <c r="J4" s="45"/>
      <c r="K4" s="61"/>
      <c r="L4" s="60"/>
      <c r="M4" s="66"/>
    </row>
    <row r="5" ht="22.5" customHeight="1">
      <c r="A5" s="41"/>
      <c r="B5" s="40"/>
      <c r="C5" s="94"/>
      <c r="D5" s="42"/>
      <c r="E5" s="12"/>
      <c r="F5" s="60"/>
      <c r="G5" s="44"/>
      <c r="H5" s="12"/>
      <c r="I5" s="44"/>
      <c r="J5" s="45"/>
      <c r="K5" s="61"/>
      <c r="L5" s="60"/>
      <c r="M5" s="15"/>
    </row>
    <row r="6" ht="22.5" customHeight="1">
      <c r="A6" s="41"/>
      <c r="B6" s="4"/>
      <c r="D6" s="5"/>
      <c r="E6" s="6"/>
      <c r="F6" s="60"/>
      <c r="G6" s="9"/>
      <c r="H6" s="12"/>
      <c r="I6" s="9"/>
      <c r="J6" s="45"/>
      <c r="K6" s="65"/>
      <c r="L6" s="60"/>
      <c r="M6" s="66"/>
    </row>
    <row r="7" ht="22.5" customHeight="1">
      <c r="A7" s="41"/>
      <c r="B7" s="40"/>
      <c r="C7" s="41"/>
      <c r="D7" s="42"/>
      <c r="E7" s="12"/>
      <c r="F7" s="60"/>
      <c r="G7" s="44"/>
      <c r="H7" s="12"/>
      <c r="I7" s="44"/>
      <c r="J7" s="45"/>
      <c r="K7" s="61"/>
      <c r="L7" s="60"/>
      <c r="M7" s="15"/>
    </row>
    <row r="8" ht="22.5" customHeight="1">
      <c r="A8" s="41"/>
      <c r="B8" s="4"/>
      <c r="D8" s="5"/>
      <c r="E8" s="6"/>
      <c r="F8" s="60"/>
      <c r="G8" s="9"/>
      <c r="H8" s="12"/>
      <c r="I8" s="9"/>
      <c r="J8" s="45"/>
      <c r="K8" s="65"/>
      <c r="L8" s="60"/>
      <c r="M8" s="66"/>
    </row>
    <row r="9" ht="22.5" customHeight="1">
      <c r="A9" s="41"/>
      <c r="B9" s="40"/>
      <c r="C9" s="41"/>
      <c r="D9" s="42"/>
      <c r="E9" s="12"/>
      <c r="F9" s="60"/>
      <c r="G9" s="44"/>
      <c r="H9" s="12"/>
      <c r="I9" s="44"/>
      <c r="J9" s="45"/>
      <c r="K9" s="61"/>
      <c r="L9" s="60"/>
      <c r="M9" s="15"/>
    </row>
    <row r="10" ht="22.5" customHeight="1">
      <c r="A10" s="41"/>
      <c r="B10" s="4"/>
      <c r="D10" s="5"/>
      <c r="E10" s="6"/>
      <c r="F10" s="60"/>
      <c r="G10" s="9"/>
      <c r="H10" s="12"/>
      <c r="I10" s="9"/>
      <c r="J10" s="45"/>
      <c r="K10" s="65"/>
      <c r="L10" s="60"/>
      <c r="M10" s="66"/>
    </row>
    <row r="11" ht="22.5" customHeight="1">
      <c r="A11" s="41"/>
      <c r="B11" s="40"/>
      <c r="C11" s="41"/>
      <c r="D11" s="42"/>
      <c r="E11" s="12"/>
      <c r="F11" s="60"/>
      <c r="G11" s="44"/>
      <c r="H11" s="12"/>
      <c r="I11" s="44"/>
      <c r="J11" s="45"/>
      <c r="K11" s="61"/>
      <c r="L11" s="60"/>
      <c r="M11" s="15"/>
    </row>
    <row r="12" ht="22.5" customHeight="1">
      <c r="A12" s="41"/>
      <c r="B12" s="4"/>
      <c r="D12" s="5"/>
      <c r="E12" s="6"/>
      <c r="F12" s="60"/>
      <c r="G12" s="9"/>
      <c r="H12" s="12"/>
      <c r="I12" s="9"/>
      <c r="J12" s="45"/>
      <c r="K12" s="65"/>
      <c r="L12" s="60"/>
      <c r="M12" s="66"/>
    </row>
    <row r="13" ht="22.5" customHeight="1">
      <c r="A13" s="41"/>
      <c r="B13" s="40"/>
      <c r="C13" s="41"/>
      <c r="D13" s="42"/>
      <c r="E13" s="12"/>
      <c r="F13" s="60"/>
      <c r="G13" s="44"/>
      <c r="H13" s="12"/>
      <c r="I13" s="44"/>
      <c r="J13" s="45"/>
      <c r="K13" s="61"/>
      <c r="L13" s="60"/>
      <c r="M13" s="15"/>
    </row>
    <row r="14" ht="22.5" customHeight="1">
      <c r="A14" s="41"/>
      <c r="B14" s="4"/>
      <c r="D14" s="5"/>
      <c r="E14" s="6"/>
      <c r="F14" s="60"/>
      <c r="G14" s="9"/>
      <c r="H14" s="12"/>
      <c r="I14" s="9"/>
      <c r="J14" s="45"/>
      <c r="K14" s="65"/>
      <c r="L14" s="60"/>
      <c r="M14" s="66"/>
    </row>
    <row r="15" ht="22.5" customHeight="1">
      <c r="A15" s="41"/>
      <c r="B15" s="40"/>
      <c r="C15" s="41"/>
      <c r="D15" s="42"/>
      <c r="E15" s="12"/>
      <c r="F15" s="60"/>
      <c r="G15" s="44"/>
      <c r="H15" s="12"/>
      <c r="I15" s="44"/>
      <c r="J15" s="45"/>
      <c r="K15" s="61"/>
      <c r="L15" s="60"/>
      <c r="M15" s="15"/>
    </row>
    <row r="16" ht="22.5" customHeight="1">
      <c r="A16" s="41"/>
      <c r="B16" s="4"/>
      <c r="D16" s="5"/>
      <c r="E16" s="6"/>
      <c r="F16" s="60"/>
      <c r="G16" s="9"/>
      <c r="H16" s="12"/>
      <c r="I16" s="9"/>
      <c r="J16" s="45"/>
      <c r="K16" s="65"/>
      <c r="L16" s="60"/>
      <c r="M16" s="66"/>
    </row>
    <row r="17" ht="22.5" customHeight="1">
      <c r="A17" s="41"/>
      <c r="B17" s="40"/>
      <c r="C17" s="41"/>
      <c r="D17" s="42"/>
      <c r="E17" s="12"/>
      <c r="F17" s="60"/>
      <c r="G17" s="44"/>
      <c r="H17" s="12"/>
      <c r="I17" s="44"/>
      <c r="J17" s="45"/>
      <c r="K17" s="61"/>
      <c r="L17" s="60"/>
      <c r="M17" s="15"/>
    </row>
    <row r="18" ht="22.5" customHeight="1">
      <c r="A18" s="41"/>
      <c r="B18" s="4"/>
      <c r="D18" s="5"/>
      <c r="E18" s="6"/>
      <c r="F18" s="60"/>
      <c r="G18" s="9"/>
      <c r="H18" s="12"/>
      <c r="I18" s="9"/>
      <c r="J18" s="45"/>
      <c r="K18" s="65"/>
      <c r="L18" s="60"/>
      <c r="M18" s="66"/>
    </row>
    <row r="19" ht="22.5" customHeight="1">
      <c r="A19" s="41"/>
      <c r="B19" s="40"/>
      <c r="C19" s="41"/>
      <c r="D19" s="42"/>
      <c r="E19" s="12"/>
      <c r="F19" s="60"/>
      <c r="G19" s="44"/>
      <c r="H19" s="12"/>
      <c r="I19" s="44"/>
      <c r="J19" s="45"/>
      <c r="K19" s="61"/>
      <c r="L19" s="60"/>
      <c r="M19" s="15"/>
    </row>
    <row r="20" ht="22.5" customHeight="1">
      <c r="A20" s="41"/>
      <c r="B20" s="4"/>
      <c r="C20" s="3"/>
      <c r="D20" s="5"/>
      <c r="E20" s="6"/>
      <c r="F20" s="60"/>
      <c r="G20" s="9"/>
      <c r="H20" s="12"/>
      <c r="I20" s="9"/>
      <c r="J20" s="45"/>
      <c r="K20" s="65"/>
      <c r="L20" s="60"/>
      <c r="M20" s="66"/>
    </row>
  </sheetData>
  <dataValidations>
    <dataValidation type="custom" allowBlank="1" showDropDown="1" sqref="B2:B20">
      <formula1>OR(NOT(ISERROR(DATEVALUE(B2))), AND(ISNUMBER(B2), LEFT(CELL("format", B2))="D"))</formula1>
    </dataValidation>
    <dataValidation type="list" allowBlank="1" sqref="K2:K20">
      <formula1>"ДА ✅,НЕТ 🅱️"</formula1>
    </dataValidation>
    <dataValidation type="custom" allowBlank="1" showDropDown="1" sqref="D2:F20 H2:H20 J2:J20 L2:M20">
      <formula1>AND(ISNUMBER(D2),(NOT(OR(NOT(ISERROR(DATEVALUE(D2))), AND(ISNUMBER(D2), LEFT(CELL("format", D2))="D")))))</formula1>
    </dataValidation>
    <dataValidation allowBlank="1" showDropDown="1" sqref="G2:G20 I2:I20"/>
  </dataValidations>
  <drawing r:id="rId1"/>
  <tableParts count="1">
    <tablePart r:id="rId3"/>
  </tableParts>
</worksheet>
</file>